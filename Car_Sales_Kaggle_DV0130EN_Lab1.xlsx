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ata Analyst course for professional\Excel in Data Analyst\Project done\"/>
    </mc:Choice>
  </mc:AlternateContent>
  <xr:revisionPtr revIDLastSave="0" documentId="13_ncr:1_{3B29723A-022A-4DE9-98E2-A3120B327D5C}" xr6:coauthVersionLast="47" xr6:coauthVersionMax="47" xr10:uidLastSave="{00000000-0000-0000-0000-000000000000}"/>
  <bookViews>
    <workbookView xWindow="-120" yWindow="-120" windowWidth="20730" windowHeight="11040" firstSheet="2" activeTab="8" xr2:uid="{00000000-000D-0000-FFFF-FFFF00000000}"/>
  </bookViews>
  <sheets>
    <sheet name="Line Chart" sheetId="5" r:id="rId1"/>
    <sheet name="Pie Chart" sheetId="6" r:id="rId2"/>
    <sheet name="Bar Chart" sheetId="2" r:id="rId3"/>
    <sheet name="Treemaps" sheetId="8" r:id="rId4"/>
    <sheet name="Area Chart" sheetId="3" r:id="rId5"/>
    <sheet name="Column Chart" sheetId="4" r:id="rId6"/>
    <sheet name="Car_sales" sheetId="1" r:id="rId7"/>
    <sheet name="Pivotchart" sheetId="7" r:id="rId8"/>
    <sheet name="Dashboard" sheetId="9" r:id="rId9"/>
  </sheets>
  <definedNames>
    <definedName name="_xlnm._FilterDatabase" localSheetId="3" hidden="1">Treemaps!#REF!</definedName>
    <definedName name="_xlchart.v1.0" hidden="1">Treemaps!$A$2:$A$10</definedName>
    <definedName name="_xlchart.v1.1" hidden="1">Treemaps!$D$1</definedName>
    <definedName name="_xlchart.v1.10" hidden="1">Treemaps!$D$1</definedName>
    <definedName name="_xlchart.v1.11" hidden="1">Treemaps!$D$2:$D$10</definedName>
    <definedName name="_xlchart.v1.2" hidden="1">Treemaps!$D$2:$D$10</definedName>
    <definedName name="_xlchart.v1.3" hidden="1">Treemaps!$B$2:$B$10</definedName>
    <definedName name="_xlchart.v1.4" hidden="1">Treemaps!$E$1</definedName>
    <definedName name="_xlchart.v1.5" hidden="1">Treemaps!$E$2:$E$10</definedName>
    <definedName name="_xlchart.v1.6" hidden="1">Treemaps!$B$2:$B$10</definedName>
    <definedName name="_xlchart.v1.7" hidden="1">Treemaps!$E$1</definedName>
    <definedName name="_xlchart.v1.8" hidden="1">Treemaps!$E$2:$E$10</definedName>
    <definedName name="_xlchart.v1.9" hidden="1">Treemaps!$A$2:$A$10</definedName>
  </definedNames>
  <calcPr calcId="191028"/>
  <pivotCaches>
    <pivotCache cacheId="1" r:id="rId10"/>
  </pivotCaches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2" i="3"/>
  <c r="F3" i="3"/>
  <c r="G10" i="8"/>
  <c r="H10" i="8" s="1"/>
  <c r="G9" i="8"/>
  <c r="H9" i="8" s="1"/>
  <c r="G8" i="8"/>
  <c r="H8" i="8" s="1"/>
  <c r="G7" i="8"/>
  <c r="H7" i="8" s="1"/>
  <c r="G6" i="8"/>
  <c r="H6" i="8" s="1"/>
  <c r="H5" i="8"/>
  <c r="G5" i="8"/>
  <c r="H4" i="8"/>
  <c r="G4" i="8"/>
  <c r="H3" i="8"/>
  <c r="G3" i="8"/>
  <c r="H2" i="8"/>
  <c r="G2" i="8"/>
  <c r="G2" i="4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" i="2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K156" i="4" l="1" a="1"/>
  <c r="K156" i="4" s="1"/>
  <c r="H156" i="4"/>
  <c r="K155" i="4" a="1"/>
  <c r="K155" i="4" s="1"/>
  <c r="H155" i="4"/>
  <c r="K154" i="4" a="1"/>
  <c r="K154" i="4" s="1"/>
  <c r="H154" i="4"/>
  <c r="K153" i="4" a="1"/>
  <c r="K153" i="4" s="1"/>
  <c r="H153" i="4"/>
  <c r="K152" i="4" a="1"/>
  <c r="K152" i="4" s="1"/>
  <c r="H152" i="4"/>
  <c r="K151" i="4" a="1"/>
  <c r="K151" i="4" s="1"/>
  <c r="H151" i="4"/>
  <c r="K150" i="4" a="1"/>
  <c r="K150" i="4" s="1"/>
  <c r="H150" i="4"/>
  <c r="K149" i="4" a="1"/>
  <c r="K149" i="4" s="1"/>
  <c r="H149" i="4"/>
  <c r="K148" i="4" a="1"/>
  <c r="K148" i="4" s="1"/>
  <c r="H148" i="4"/>
  <c r="K147" i="4" a="1"/>
  <c r="K147" i="4" s="1"/>
  <c r="H147" i="4"/>
  <c r="K146" i="4" a="1"/>
  <c r="K146" i="4" s="1"/>
  <c r="H146" i="4"/>
  <c r="K145" i="4" a="1"/>
  <c r="K145" i="4" s="1"/>
  <c r="H145" i="4"/>
  <c r="K144" i="4" a="1"/>
  <c r="K144" i="4" s="1"/>
  <c r="H144" i="4"/>
  <c r="K143" i="4" a="1"/>
  <c r="K143" i="4" s="1"/>
  <c r="H143" i="4"/>
  <c r="K142" i="4" a="1"/>
  <c r="K142" i="4" s="1"/>
  <c r="H142" i="4"/>
  <c r="K141" i="4" a="1"/>
  <c r="K141" i="4" s="1"/>
  <c r="H141" i="4"/>
  <c r="K140" i="4" a="1"/>
  <c r="K140" i="4" s="1"/>
  <c r="H140" i="4"/>
  <c r="K139" i="4" a="1"/>
  <c r="K139" i="4" s="1"/>
  <c r="H139" i="4"/>
  <c r="K138" i="4" a="1"/>
  <c r="K138" i="4" s="1"/>
  <c r="H138" i="4"/>
  <c r="K137" i="4" a="1"/>
  <c r="K137" i="4" s="1"/>
  <c r="H137" i="4"/>
  <c r="K136" i="4" a="1"/>
  <c r="K136" i="4" s="1"/>
  <c r="H136" i="4"/>
  <c r="K135" i="4" a="1"/>
  <c r="K135" i="4" s="1"/>
  <c r="H135" i="4"/>
  <c r="K134" i="4" a="1"/>
  <c r="K134" i="4" s="1"/>
  <c r="H134" i="4"/>
  <c r="K133" i="4" a="1"/>
  <c r="K133" i="4" s="1"/>
  <c r="H133" i="4"/>
  <c r="K132" i="4" a="1"/>
  <c r="K132" i="4" s="1"/>
  <c r="H132" i="4"/>
  <c r="K131" i="4" a="1"/>
  <c r="K131" i="4" s="1"/>
  <c r="H131" i="4"/>
  <c r="K130" i="4" a="1"/>
  <c r="K130" i="4" s="1"/>
  <c r="H130" i="4"/>
  <c r="K129" i="4" a="1"/>
  <c r="K129" i="4" s="1"/>
  <c r="H129" i="4"/>
  <c r="K128" i="4" a="1"/>
  <c r="K128" i="4" s="1"/>
  <c r="H128" i="4"/>
  <c r="K127" i="4" a="1"/>
  <c r="K127" i="4" s="1"/>
  <c r="H127" i="4"/>
  <c r="K126" i="4" a="1"/>
  <c r="K126" i="4" s="1"/>
  <c r="H126" i="4"/>
  <c r="K125" i="4" a="1"/>
  <c r="K125" i="4" s="1"/>
  <c r="H125" i="4"/>
  <c r="K124" i="4" a="1"/>
  <c r="K124" i="4" s="1"/>
  <c r="H124" i="4"/>
  <c r="K123" i="4" a="1"/>
  <c r="K123" i="4" s="1"/>
  <c r="H123" i="4"/>
  <c r="K122" i="4" a="1"/>
  <c r="K122" i="4" s="1"/>
  <c r="H122" i="4"/>
  <c r="K121" i="4" a="1"/>
  <c r="K121" i="4" s="1"/>
  <c r="H121" i="4"/>
  <c r="K120" i="4" a="1"/>
  <c r="K120" i="4" s="1"/>
  <c r="H120" i="4"/>
  <c r="K119" i="4" a="1"/>
  <c r="K119" i="4" s="1"/>
  <c r="H119" i="4"/>
  <c r="K118" i="4" a="1"/>
  <c r="K118" i="4" s="1"/>
  <c r="H118" i="4"/>
  <c r="K117" i="4" a="1"/>
  <c r="K117" i="4" s="1"/>
  <c r="H117" i="4"/>
  <c r="K116" i="4" a="1"/>
  <c r="K116" i="4" s="1"/>
  <c r="H116" i="4"/>
  <c r="K115" i="4" a="1"/>
  <c r="K115" i="4" s="1"/>
  <c r="H115" i="4"/>
  <c r="K114" i="4" a="1"/>
  <c r="K114" i="4" s="1"/>
  <c r="H114" i="4"/>
  <c r="K113" i="4" a="1"/>
  <c r="K113" i="4" s="1"/>
  <c r="H113" i="4"/>
  <c r="K112" i="4" a="1"/>
  <c r="K112" i="4" s="1"/>
  <c r="H112" i="4"/>
  <c r="K111" i="4" a="1"/>
  <c r="K111" i="4" s="1"/>
  <c r="H111" i="4"/>
  <c r="K110" i="4" a="1"/>
  <c r="K110" i="4" s="1"/>
  <c r="H110" i="4"/>
  <c r="K109" i="4" a="1"/>
  <c r="K109" i="4" s="1"/>
  <c r="H109" i="4"/>
  <c r="K108" i="4" a="1"/>
  <c r="K108" i="4" s="1"/>
  <c r="H108" i="4"/>
  <c r="K107" i="4" a="1"/>
  <c r="K107" i="4" s="1"/>
  <c r="H107" i="4"/>
  <c r="K106" i="4" a="1"/>
  <c r="K106" i="4" s="1"/>
  <c r="H106" i="4"/>
  <c r="K105" i="4" a="1"/>
  <c r="K105" i="4" s="1"/>
  <c r="H105" i="4"/>
  <c r="K104" i="4" a="1"/>
  <c r="K104" i="4" s="1"/>
  <c r="H104" i="4"/>
  <c r="K103" i="4" a="1"/>
  <c r="K103" i="4" s="1"/>
  <c r="H103" i="4"/>
  <c r="K102" i="4" a="1"/>
  <c r="K102" i="4" s="1"/>
  <c r="H102" i="4"/>
  <c r="K101" i="4" a="1"/>
  <c r="K101" i="4" s="1"/>
  <c r="H101" i="4"/>
  <c r="K100" i="4" a="1"/>
  <c r="K100" i="4" s="1"/>
  <c r="H100" i="4"/>
  <c r="K99" i="4" a="1"/>
  <c r="K99" i="4" s="1"/>
  <c r="H99" i="4"/>
  <c r="K98" i="4" a="1"/>
  <c r="K98" i="4" s="1"/>
  <c r="H98" i="4"/>
  <c r="K97" i="4" a="1"/>
  <c r="K97" i="4" s="1"/>
  <c r="H97" i="4"/>
  <c r="K96" i="4" a="1"/>
  <c r="K96" i="4" s="1"/>
  <c r="H96" i="4"/>
  <c r="K95" i="4" a="1"/>
  <c r="K95" i="4" s="1"/>
  <c r="H95" i="4"/>
  <c r="K94" i="4" a="1"/>
  <c r="K94" i="4" s="1"/>
  <c r="H94" i="4"/>
  <c r="K93" i="4" a="1"/>
  <c r="K93" i="4" s="1"/>
  <c r="H93" i="4"/>
  <c r="K92" i="4" a="1"/>
  <c r="K92" i="4" s="1"/>
  <c r="H92" i="4"/>
  <c r="K91" i="4" a="1"/>
  <c r="K91" i="4" s="1"/>
  <c r="H91" i="4"/>
  <c r="K90" i="4" a="1"/>
  <c r="K90" i="4" s="1"/>
  <c r="H90" i="4"/>
  <c r="K89" i="4" a="1"/>
  <c r="K89" i="4" s="1"/>
  <c r="H89" i="4"/>
  <c r="K88" i="4" a="1"/>
  <c r="K88" i="4" s="1"/>
  <c r="H88" i="4"/>
  <c r="K87" i="4" a="1"/>
  <c r="K87" i="4" s="1"/>
  <c r="H87" i="4"/>
  <c r="K86" i="4" a="1"/>
  <c r="K86" i="4" s="1"/>
  <c r="H86" i="4"/>
  <c r="K85" i="4" a="1"/>
  <c r="K85" i="4" s="1"/>
  <c r="H85" i="4"/>
  <c r="K84" i="4" a="1"/>
  <c r="K84" i="4" s="1"/>
  <c r="H84" i="4"/>
  <c r="K83" i="4" a="1"/>
  <c r="K83" i="4" s="1"/>
  <c r="H83" i="4"/>
  <c r="K82" i="4" a="1"/>
  <c r="K82" i="4" s="1"/>
  <c r="H82" i="4"/>
  <c r="K81" i="4" a="1"/>
  <c r="K81" i="4" s="1"/>
  <c r="H81" i="4"/>
  <c r="K80" i="4" a="1"/>
  <c r="K80" i="4" s="1"/>
  <c r="H80" i="4"/>
  <c r="K79" i="4" a="1"/>
  <c r="K79" i="4" s="1"/>
  <c r="H79" i="4"/>
  <c r="K78" i="4" a="1"/>
  <c r="K78" i="4" s="1"/>
  <c r="H78" i="4"/>
  <c r="K77" i="4" a="1"/>
  <c r="K77" i="4" s="1"/>
  <c r="H77" i="4"/>
  <c r="K76" i="4" a="1"/>
  <c r="K76" i="4" s="1"/>
  <c r="H76" i="4"/>
  <c r="K75" i="4" a="1"/>
  <c r="K75" i="4" s="1"/>
  <c r="H75" i="4"/>
  <c r="K74" i="4" a="1"/>
  <c r="K74" i="4" s="1"/>
  <c r="H74" i="4"/>
  <c r="K73" i="4" a="1"/>
  <c r="K73" i="4" s="1"/>
  <c r="H73" i="4"/>
  <c r="K72" i="4" a="1"/>
  <c r="K72" i="4" s="1"/>
  <c r="H72" i="4"/>
  <c r="K71" i="4" a="1"/>
  <c r="K71" i="4" s="1"/>
  <c r="H71" i="4"/>
  <c r="K70" i="4" a="1"/>
  <c r="K70" i="4" s="1"/>
  <c r="H70" i="4"/>
  <c r="K69" i="4" a="1"/>
  <c r="K69" i="4" s="1"/>
  <c r="H69" i="4"/>
  <c r="K68" i="4" a="1"/>
  <c r="K68" i="4" s="1"/>
  <c r="H68" i="4"/>
  <c r="K67" i="4" a="1"/>
  <c r="K67" i="4" s="1"/>
  <c r="H67" i="4"/>
  <c r="K66" i="4" a="1"/>
  <c r="K66" i="4" s="1"/>
  <c r="H66" i="4"/>
  <c r="K65" i="4" a="1"/>
  <c r="K65" i="4" s="1"/>
  <c r="H65" i="4"/>
  <c r="K64" i="4" a="1"/>
  <c r="K64" i="4" s="1"/>
  <c r="H64" i="4"/>
  <c r="K63" i="4" a="1"/>
  <c r="K63" i="4" s="1"/>
  <c r="H63" i="4"/>
  <c r="K62" i="4" a="1"/>
  <c r="K62" i="4" s="1"/>
  <c r="H62" i="4"/>
  <c r="K61" i="4" a="1"/>
  <c r="K61" i="4" s="1"/>
  <c r="H61" i="4"/>
  <c r="K60" i="4" a="1"/>
  <c r="K60" i="4" s="1"/>
  <c r="H60" i="4"/>
  <c r="K59" i="4" a="1"/>
  <c r="K59" i="4" s="1"/>
  <c r="H59" i="4"/>
  <c r="K58" i="4" a="1"/>
  <c r="K58" i="4" s="1"/>
  <c r="H58" i="4"/>
  <c r="K57" i="4" a="1"/>
  <c r="K57" i="4" s="1"/>
  <c r="H57" i="4"/>
  <c r="K56" i="4" a="1"/>
  <c r="K56" i="4" s="1"/>
  <c r="H56" i="4"/>
  <c r="K55" i="4" a="1"/>
  <c r="K55" i="4" s="1"/>
  <c r="H55" i="4"/>
  <c r="K54" i="4" a="1"/>
  <c r="K54" i="4" s="1"/>
  <c r="H54" i="4"/>
  <c r="K53" i="4" a="1"/>
  <c r="K53" i="4" s="1"/>
  <c r="H53" i="4"/>
  <c r="K52" i="4" a="1"/>
  <c r="K52" i="4" s="1"/>
  <c r="H52" i="4"/>
  <c r="K51" i="4" a="1"/>
  <c r="K51" i="4" s="1"/>
  <c r="H51" i="4"/>
  <c r="K50" i="4" a="1"/>
  <c r="K50" i="4" s="1"/>
  <c r="H50" i="4"/>
  <c r="K49" i="4" a="1"/>
  <c r="K49" i="4" s="1"/>
  <c r="H49" i="4"/>
  <c r="K48" i="4" a="1"/>
  <c r="K48" i="4" s="1"/>
  <c r="H48" i="4"/>
  <c r="K47" i="4" a="1"/>
  <c r="K47" i="4" s="1"/>
  <c r="H47" i="4"/>
  <c r="K46" i="4" a="1"/>
  <c r="K46" i="4" s="1"/>
  <c r="H46" i="4"/>
  <c r="K45" i="4" a="1"/>
  <c r="K45" i="4" s="1"/>
  <c r="H45" i="4"/>
  <c r="K44" i="4" a="1"/>
  <c r="K44" i="4" s="1"/>
  <c r="H44" i="4"/>
  <c r="K43" i="4" a="1"/>
  <c r="K43" i="4" s="1"/>
  <c r="H43" i="4"/>
  <c r="K42" i="4" a="1"/>
  <c r="K42" i="4" s="1"/>
  <c r="H42" i="4"/>
  <c r="K41" i="4" a="1"/>
  <c r="K41" i="4" s="1"/>
  <c r="H41" i="4"/>
  <c r="K40" i="4" a="1"/>
  <c r="K40" i="4" s="1"/>
  <c r="H40" i="4"/>
  <c r="K39" i="4" a="1"/>
  <c r="K39" i="4" s="1"/>
  <c r="H39" i="4"/>
  <c r="K38" i="4" a="1"/>
  <c r="K38" i="4" s="1"/>
  <c r="H38" i="4"/>
  <c r="K37" i="4" a="1"/>
  <c r="K37" i="4" s="1"/>
  <c r="H37" i="4"/>
  <c r="K36" i="4" a="1"/>
  <c r="K36" i="4" s="1"/>
  <c r="H36" i="4"/>
  <c r="K35" i="4" a="1"/>
  <c r="K35" i="4" s="1"/>
  <c r="H35" i="4"/>
  <c r="K34" i="4" a="1"/>
  <c r="K34" i="4" s="1"/>
  <c r="H34" i="4"/>
  <c r="K33" i="4" a="1"/>
  <c r="K33" i="4" s="1"/>
  <c r="H33" i="4"/>
  <c r="K32" i="4" a="1"/>
  <c r="K32" i="4" s="1"/>
  <c r="H32" i="4"/>
  <c r="K31" i="4" a="1"/>
  <c r="K31" i="4" s="1"/>
  <c r="H31" i="4"/>
  <c r="K30" i="4" a="1"/>
  <c r="K30" i="4" s="1"/>
  <c r="H30" i="4"/>
  <c r="K29" i="4" a="1"/>
  <c r="K29" i="4" s="1"/>
  <c r="H29" i="4"/>
  <c r="K28" i="4" a="1"/>
  <c r="K28" i="4" s="1"/>
  <c r="H28" i="4"/>
  <c r="K27" i="4" a="1"/>
  <c r="K27" i="4" s="1"/>
  <c r="H27" i="4"/>
  <c r="K26" i="4" a="1"/>
  <c r="K26" i="4" s="1"/>
  <c r="H26" i="4"/>
  <c r="K25" i="4" a="1"/>
  <c r="K25" i="4" s="1"/>
  <c r="H25" i="4"/>
  <c r="K24" i="4" a="1"/>
  <c r="K24" i="4" s="1"/>
  <c r="H24" i="4"/>
  <c r="K23" i="4" a="1"/>
  <c r="K23" i="4" s="1"/>
  <c r="H23" i="4"/>
  <c r="K22" i="4" a="1"/>
  <c r="K22" i="4" s="1"/>
  <c r="H22" i="4"/>
  <c r="K21" i="4" a="1"/>
  <c r="K21" i="4" s="1"/>
  <c r="H21" i="4"/>
  <c r="K20" i="4" a="1"/>
  <c r="K20" i="4" s="1"/>
  <c r="H20" i="4"/>
  <c r="K19" i="4" a="1"/>
  <c r="K19" i="4" s="1"/>
  <c r="H19" i="4"/>
  <c r="K18" i="4" a="1"/>
  <c r="K18" i="4" s="1"/>
  <c r="H18" i="4"/>
  <c r="K17" i="4" a="1"/>
  <c r="K17" i="4" s="1"/>
  <c r="H17" i="4"/>
  <c r="K16" i="4" a="1"/>
  <c r="K16" i="4" s="1"/>
  <c r="H16" i="4"/>
  <c r="K15" i="4" a="1"/>
  <c r="K15" i="4" s="1"/>
  <c r="H15" i="4"/>
  <c r="K14" i="4" a="1"/>
  <c r="K14" i="4" s="1"/>
  <c r="H14" i="4"/>
  <c r="K13" i="4" a="1"/>
  <c r="K13" i="4" s="1"/>
  <c r="H13" i="4"/>
  <c r="K12" i="4" a="1"/>
  <c r="K12" i="4" s="1"/>
  <c r="H12" i="4"/>
  <c r="K11" i="4" a="1"/>
  <c r="K11" i="4" s="1"/>
  <c r="H11" i="4"/>
  <c r="K10" i="4" a="1"/>
  <c r="K10" i="4" s="1"/>
  <c r="H10" i="4"/>
  <c r="K9" i="4" a="1"/>
  <c r="K9" i="4" s="1"/>
  <c r="H9" i="4"/>
  <c r="K8" i="4" a="1"/>
  <c r="K8" i="4" s="1"/>
  <c r="H8" i="4"/>
  <c r="K7" i="4" a="1"/>
  <c r="K7" i="4" s="1"/>
  <c r="H7" i="4"/>
  <c r="K6" i="4" a="1"/>
  <c r="K6" i="4" s="1"/>
  <c r="H6" i="4"/>
  <c r="K5" i="4" a="1"/>
  <c r="K5" i="4" s="1"/>
  <c r="H5" i="4"/>
  <c r="K4" i="4" a="1"/>
  <c r="K4" i="4" s="1"/>
  <c r="H4" i="4"/>
  <c r="K3" i="4" a="1"/>
  <c r="K3" i="4" s="1"/>
  <c r="H3" i="4"/>
  <c r="K2" i="4" a="1"/>
  <c r="K2" i="4" s="1"/>
  <c r="H2" i="4"/>
  <c r="J156" i="3" a="1"/>
  <c r="J156" i="3" s="1"/>
  <c r="F156" i="3"/>
  <c r="J155" i="3" a="1"/>
  <c r="J155" i="3" s="1"/>
  <c r="F155" i="3"/>
  <c r="J154" i="3" a="1"/>
  <c r="J154" i="3" s="1"/>
  <c r="F154" i="3"/>
  <c r="J153" i="3" a="1"/>
  <c r="J153" i="3" s="1"/>
  <c r="F153" i="3"/>
  <c r="J152" i="3" a="1"/>
  <c r="J152" i="3" s="1"/>
  <c r="F152" i="3"/>
  <c r="J151" i="3" a="1"/>
  <c r="J151" i="3" s="1"/>
  <c r="F151" i="3"/>
  <c r="J150" i="3" a="1"/>
  <c r="J150" i="3" s="1"/>
  <c r="F150" i="3"/>
  <c r="J149" i="3" a="1"/>
  <c r="J149" i="3" s="1"/>
  <c r="F149" i="3"/>
  <c r="J148" i="3" a="1"/>
  <c r="J148" i="3" s="1"/>
  <c r="F148" i="3"/>
  <c r="J147" i="3" a="1"/>
  <c r="J147" i="3" s="1"/>
  <c r="F147" i="3"/>
  <c r="J146" i="3" a="1"/>
  <c r="J146" i="3" s="1"/>
  <c r="F146" i="3"/>
  <c r="J145" i="3" a="1"/>
  <c r="J145" i="3" s="1"/>
  <c r="F145" i="3"/>
  <c r="J141" i="3" a="1"/>
  <c r="J141" i="3" s="1"/>
  <c r="F141" i="3"/>
  <c r="J136" i="3" a="1"/>
  <c r="J136" i="3" s="1"/>
  <c r="F136" i="3"/>
  <c r="J142" i="3" a="1"/>
  <c r="J142" i="3" s="1"/>
  <c r="F142" i="3"/>
  <c r="J143" i="3" a="1"/>
  <c r="J143" i="3" s="1"/>
  <c r="F143" i="3"/>
  <c r="J144" i="3" a="1"/>
  <c r="J144" i="3" s="1"/>
  <c r="F144" i="3"/>
  <c r="J139" i="3" a="1"/>
  <c r="J139" i="3" s="1"/>
  <c r="F139" i="3"/>
  <c r="J137" i="3" a="1"/>
  <c r="J137" i="3" s="1"/>
  <c r="F137" i="3"/>
  <c r="J138" i="3" a="1"/>
  <c r="J138" i="3" s="1"/>
  <c r="F138" i="3"/>
  <c r="J140" i="3" a="1"/>
  <c r="J140" i="3" s="1"/>
  <c r="F140" i="3"/>
  <c r="J135" i="3" a="1"/>
  <c r="J135" i="3" s="1"/>
  <c r="F135" i="3"/>
  <c r="J134" i="3" a="1"/>
  <c r="J134" i="3" s="1"/>
  <c r="F134" i="3"/>
  <c r="J133" i="3" a="1"/>
  <c r="J133" i="3" s="1"/>
  <c r="F133" i="3"/>
  <c r="J132" i="3" a="1"/>
  <c r="J132" i="3" s="1"/>
  <c r="F132" i="3"/>
  <c r="J131" i="3" a="1"/>
  <c r="J131" i="3" s="1"/>
  <c r="F131" i="3"/>
  <c r="J130" i="3" a="1"/>
  <c r="J130" i="3" s="1"/>
  <c r="F130" i="3"/>
  <c r="J129" i="3" a="1"/>
  <c r="J129" i="3" s="1"/>
  <c r="F129" i="3"/>
  <c r="J128" i="3" a="1"/>
  <c r="J128" i="3" s="1"/>
  <c r="F128" i="3"/>
  <c r="J127" i="3" a="1"/>
  <c r="J127" i="3" s="1"/>
  <c r="F127" i="3"/>
  <c r="J126" i="3" a="1"/>
  <c r="J126" i="3" s="1"/>
  <c r="F126" i="3"/>
  <c r="J125" i="3" a="1"/>
  <c r="J125" i="3" s="1"/>
  <c r="F125" i="3"/>
  <c r="J124" i="3" a="1"/>
  <c r="J124" i="3" s="1"/>
  <c r="F124" i="3"/>
  <c r="J123" i="3" a="1"/>
  <c r="J123" i="3" s="1"/>
  <c r="F123" i="3"/>
  <c r="J122" i="3" a="1"/>
  <c r="J122" i="3" s="1"/>
  <c r="F122" i="3"/>
  <c r="J121" i="3" a="1"/>
  <c r="J121" i="3" s="1"/>
  <c r="F121" i="3"/>
  <c r="J120" i="3" a="1"/>
  <c r="J120" i="3" s="1"/>
  <c r="F120" i="3"/>
  <c r="J119" i="3" a="1"/>
  <c r="J119" i="3" s="1"/>
  <c r="F119" i="3"/>
  <c r="J118" i="3" a="1"/>
  <c r="J118" i="3" s="1"/>
  <c r="F118" i="3"/>
  <c r="J117" i="3" a="1"/>
  <c r="J117" i="3" s="1"/>
  <c r="F117" i="3"/>
  <c r="J116" i="3" a="1"/>
  <c r="J116" i="3" s="1"/>
  <c r="F116" i="3"/>
  <c r="J115" i="3" a="1"/>
  <c r="J115" i="3" s="1"/>
  <c r="F115" i="3"/>
  <c r="J114" i="3" a="1"/>
  <c r="J114" i="3" s="1"/>
  <c r="F114" i="3"/>
  <c r="J113" i="3" a="1"/>
  <c r="J113" i="3" s="1"/>
  <c r="F113" i="3"/>
  <c r="J112" i="3" a="1"/>
  <c r="J112" i="3" s="1"/>
  <c r="F112" i="3"/>
  <c r="J111" i="3" a="1"/>
  <c r="J111" i="3" s="1"/>
  <c r="F111" i="3"/>
  <c r="J110" i="3" a="1"/>
  <c r="J110" i="3" s="1"/>
  <c r="F110" i="3"/>
  <c r="J109" i="3" a="1"/>
  <c r="J109" i="3" s="1"/>
  <c r="F109" i="3"/>
  <c r="J108" i="3" a="1"/>
  <c r="J108" i="3" s="1"/>
  <c r="F108" i="3"/>
  <c r="J107" i="3" a="1"/>
  <c r="J107" i="3" s="1"/>
  <c r="F107" i="3"/>
  <c r="J106" i="3" a="1"/>
  <c r="J106" i="3" s="1"/>
  <c r="F106" i="3"/>
  <c r="J105" i="3" a="1"/>
  <c r="J105" i="3" s="1"/>
  <c r="F105" i="3"/>
  <c r="J104" i="3" a="1"/>
  <c r="J104" i="3" s="1"/>
  <c r="F104" i="3"/>
  <c r="J103" i="3" a="1"/>
  <c r="J103" i="3" s="1"/>
  <c r="F103" i="3"/>
  <c r="J102" i="3" a="1"/>
  <c r="J102" i="3" s="1"/>
  <c r="F102" i="3"/>
  <c r="J101" i="3" a="1"/>
  <c r="J101" i="3" s="1"/>
  <c r="F101" i="3"/>
  <c r="J100" i="3" a="1"/>
  <c r="J100" i="3" s="1"/>
  <c r="F100" i="3"/>
  <c r="J99" i="3" a="1"/>
  <c r="J99" i="3" s="1"/>
  <c r="F99" i="3"/>
  <c r="J98" i="3" a="1"/>
  <c r="J98" i="3" s="1"/>
  <c r="F98" i="3"/>
  <c r="J97" i="3" a="1"/>
  <c r="J97" i="3" s="1"/>
  <c r="F97" i="3"/>
  <c r="J96" i="3" a="1"/>
  <c r="J96" i="3" s="1"/>
  <c r="F96" i="3"/>
  <c r="J95" i="3" a="1"/>
  <c r="J95" i="3" s="1"/>
  <c r="F95" i="3"/>
  <c r="J94" i="3" a="1"/>
  <c r="J94" i="3" s="1"/>
  <c r="F94" i="3"/>
  <c r="J93" i="3" a="1"/>
  <c r="J93" i="3" s="1"/>
  <c r="F93" i="3"/>
  <c r="J92" i="3" a="1"/>
  <c r="J92" i="3" s="1"/>
  <c r="F92" i="3"/>
  <c r="J91" i="3" a="1"/>
  <c r="J91" i="3" s="1"/>
  <c r="F91" i="3"/>
  <c r="J90" i="3" a="1"/>
  <c r="J90" i="3" s="1"/>
  <c r="F90" i="3"/>
  <c r="J89" i="3" a="1"/>
  <c r="J89" i="3" s="1"/>
  <c r="F89" i="3"/>
  <c r="J88" i="3" a="1"/>
  <c r="J88" i="3" s="1"/>
  <c r="F88" i="3"/>
  <c r="J87" i="3" a="1"/>
  <c r="J87" i="3" s="1"/>
  <c r="F87" i="3"/>
  <c r="J86" i="3" a="1"/>
  <c r="J86" i="3" s="1"/>
  <c r="F86" i="3"/>
  <c r="J85" i="3" a="1"/>
  <c r="J85" i="3" s="1"/>
  <c r="F85" i="3"/>
  <c r="J84" i="3" a="1"/>
  <c r="J84" i="3" s="1"/>
  <c r="F84" i="3"/>
  <c r="J83" i="3" a="1"/>
  <c r="J83" i="3" s="1"/>
  <c r="F83" i="3"/>
  <c r="J82" i="3" a="1"/>
  <c r="J82" i="3" s="1"/>
  <c r="F82" i="3"/>
  <c r="J81" i="3" a="1"/>
  <c r="J81" i="3" s="1"/>
  <c r="F81" i="3"/>
  <c r="J80" i="3" a="1"/>
  <c r="J80" i="3" s="1"/>
  <c r="F80" i="3"/>
  <c r="J79" i="3" a="1"/>
  <c r="J79" i="3" s="1"/>
  <c r="F79" i="3"/>
  <c r="J78" i="3" a="1"/>
  <c r="J78" i="3" s="1"/>
  <c r="F78" i="3"/>
  <c r="J77" i="3" a="1"/>
  <c r="J77" i="3" s="1"/>
  <c r="F77" i="3"/>
  <c r="J76" i="3" a="1"/>
  <c r="J76" i="3" s="1"/>
  <c r="F76" i="3"/>
  <c r="J75" i="3" a="1"/>
  <c r="J75" i="3" s="1"/>
  <c r="F75" i="3"/>
  <c r="J74" i="3" a="1"/>
  <c r="J74" i="3" s="1"/>
  <c r="F74" i="3"/>
  <c r="J73" i="3" a="1"/>
  <c r="J73" i="3" s="1"/>
  <c r="F73" i="3"/>
  <c r="J72" i="3" a="1"/>
  <c r="J72" i="3" s="1"/>
  <c r="F72" i="3"/>
  <c r="J71" i="3" a="1"/>
  <c r="J71" i="3" s="1"/>
  <c r="F71" i="3"/>
  <c r="J70" i="3" a="1"/>
  <c r="J70" i="3" s="1"/>
  <c r="F70" i="3"/>
  <c r="J69" i="3" a="1"/>
  <c r="J69" i="3" s="1"/>
  <c r="F69" i="3"/>
  <c r="J68" i="3" a="1"/>
  <c r="J68" i="3" s="1"/>
  <c r="F68" i="3"/>
  <c r="J67" i="3" a="1"/>
  <c r="J67" i="3" s="1"/>
  <c r="F67" i="3"/>
  <c r="J66" i="3" a="1"/>
  <c r="J66" i="3" s="1"/>
  <c r="F66" i="3"/>
  <c r="J65" i="3" a="1"/>
  <c r="J65" i="3" s="1"/>
  <c r="F65" i="3"/>
  <c r="J64" i="3" a="1"/>
  <c r="J64" i="3" s="1"/>
  <c r="F64" i="3"/>
  <c r="J63" i="3" a="1"/>
  <c r="J63" i="3" s="1"/>
  <c r="F63" i="3"/>
  <c r="J62" i="3" a="1"/>
  <c r="J62" i="3" s="1"/>
  <c r="F62" i="3"/>
  <c r="J61" i="3" a="1"/>
  <c r="J61" i="3" s="1"/>
  <c r="F61" i="3"/>
  <c r="J60" i="3" a="1"/>
  <c r="J60" i="3" s="1"/>
  <c r="F60" i="3"/>
  <c r="J59" i="3" a="1"/>
  <c r="J59" i="3" s="1"/>
  <c r="F59" i="3"/>
  <c r="J58" i="3" a="1"/>
  <c r="J58" i="3" s="1"/>
  <c r="F58" i="3"/>
  <c r="J57" i="3" a="1"/>
  <c r="J57" i="3" s="1"/>
  <c r="F57" i="3"/>
  <c r="J56" i="3" a="1"/>
  <c r="J56" i="3" s="1"/>
  <c r="F56" i="3"/>
  <c r="J55" i="3" a="1"/>
  <c r="J55" i="3" s="1"/>
  <c r="F55" i="3"/>
  <c r="J54" i="3" a="1"/>
  <c r="J54" i="3" s="1"/>
  <c r="F54" i="3"/>
  <c r="J53" i="3" a="1"/>
  <c r="J53" i="3" s="1"/>
  <c r="F53" i="3"/>
  <c r="J52" i="3" a="1"/>
  <c r="J52" i="3" s="1"/>
  <c r="F52" i="3"/>
  <c r="J51" i="3" a="1"/>
  <c r="J51" i="3" s="1"/>
  <c r="F51" i="3"/>
  <c r="J50" i="3" a="1"/>
  <c r="J50" i="3" s="1"/>
  <c r="F50" i="3"/>
  <c r="J49" i="3" a="1"/>
  <c r="J49" i="3" s="1"/>
  <c r="F49" i="3"/>
  <c r="J48" i="3" a="1"/>
  <c r="J48" i="3" s="1"/>
  <c r="F48" i="3"/>
  <c r="J47" i="3" a="1"/>
  <c r="J47" i="3" s="1"/>
  <c r="F47" i="3"/>
  <c r="J46" i="3" a="1"/>
  <c r="J46" i="3" s="1"/>
  <c r="F46" i="3"/>
  <c r="J45" i="3" a="1"/>
  <c r="J45" i="3" s="1"/>
  <c r="F45" i="3"/>
  <c r="J44" i="3" a="1"/>
  <c r="J44" i="3" s="1"/>
  <c r="F44" i="3"/>
  <c r="J43" i="3" a="1"/>
  <c r="J43" i="3" s="1"/>
  <c r="F43" i="3"/>
  <c r="J42" i="3" a="1"/>
  <c r="J42" i="3" s="1"/>
  <c r="F42" i="3"/>
  <c r="J41" i="3" a="1"/>
  <c r="J41" i="3" s="1"/>
  <c r="F41" i="3"/>
  <c r="J40" i="3" a="1"/>
  <c r="J40" i="3" s="1"/>
  <c r="F40" i="3"/>
  <c r="J39" i="3" a="1"/>
  <c r="J39" i="3" s="1"/>
  <c r="F39" i="3"/>
  <c r="J38" i="3" a="1"/>
  <c r="J38" i="3" s="1"/>
  <c r="F38" i="3"/>
  <c r="J37" i="3" a="1"/>
  <c r="J37" i="3" s="1"/>
  <c r="F37" i="3"/>
  <c r="J36" i="3" a="1"/>
  <c r="J36" i="3" s="1"/>
  <c r="F36" i="3"/>
  <c r="J35" i="3" a="1"/>
  <c r="J35" i="3" s="1"/>
  <c r="F35" i="3"/>
  <c r="J34" i="3" a="1"/>
  <c r="J34" i="3" s="1"/>
  <c r="F34" i="3"/>
  <c r="J33" i="3" a="1"/>
  <c r="J33" i="3" s="1"/>
  <c r="F33" i="3"/>
  <c r="J32" i="3" a="1"/>
  <c r="J32" i="3" s="1"/>
  <c r="F32" i="3"/>
  <c r="J31" i="3" a="1"/>
  <c r="J31" i="3" s="1"/>
  <c r="F31" i="3"/>
  <c r="J30" i="3" a="1"/>
  <c r="J30" i="3" s="1"/>
  <c r="F30" i="3"/>
  <c r="J29" i="3" a="1"/>
  <c r="J29" i="3" s="1"/>
  <c r="F29" i="3"/>
  <c r="J28" i="3" a="1"/>
  <c r="J28" i="3" s="1"/>
  <c r="F28" i="3"/>
  <c r="J27" i="3" a="1"/>
  <c r="J27" i="3" s="1"/>
  <c r="F27" i="3"/>
  <c r="J26" i="3" a="1"/>
  <c r="J26" i="3" s="1"/>
  <c r="F26" i="3"/>
  <c r="J25" i="3" a="1"/>
  <c r="J25" i="3" s="1"/>
  <c r="F25" i="3"/>
  <c r="J24" i="3" a="1"/>
  <c r="J24" i="3" s="1"/>
  <c r="F24" i="3"/>
  <c r="J23" i="3" a="1"/>
  <c r="J23" i="3" s="1"/>
  <c r="F23" i="3"/>
  <c r="J22" i="3" a="1"/>
  <c r="J22" i="3" s="1"/>
  <c r="F22" i="3"/>
  <c r="J21" i="3" a="1"/>
  <c r="J21" i="3" s="1"/>
  <c r="F21" i="3"/>
  <c r="J20" i="3" a="1"/>
  <c r="J20" i="3" s="1"/>
  <c r="F20" i="3"/>
  <c r="J19" i="3" a="1"/>
  <c r="J19" i="3" s="1"/>
  <c r="F19" i="3"/>
  <c r="J18" i="3" a="1"/>
  <c r="J18" i="3" s="1"/>
  <c r="F18" i="3"/>
  <c r="J17" i="3" a="1"/>
  <c r="J17" i="3" s="1"/>
  <c r="F17" i="3"/>
  <c r="J16" i="3" a="1"/>
  <c r="J16" i="3" s="1"/>
  <c r="F16" i="3"/>
  <c r="J15" i="3" a="1"/>
  <c r="J15" i="3" s="1"/>
  <c r="F15" i="3"/>
  <c r="J14" i="3" a="1"/>
  <c r="J14" i="3" s="1"/>
  <c r="F14" i="3"/>
  <c r="J13" i="3" a="1"/>
  <c r="J13" i="3" s="1"/>
  <c r="F13" i="3"/>
  <c r="J12" i="3" a="1"/>
  <c r="J12" i="3" s="1"/>
  <c r="F12" i="3"/>
  <c r="J11" i="3" a="1"/>
  <c r="J11" i="3" s="1"/>
  <c r="F11" i="3"/>
  <c r="J10" i="3" a="1"/>
  <c r="J10" i="3" s="1"/>
  <c r="F10" i="3"/>
  <c r="J9" i="3" a="1"/>
  <c r="J9" i="3" s="1"/>
  <c r="F9" i="3"/>
  <c r="J8" i="3" a="1"/>
  <c r="J8" i="3" s="1"/>
  <c r="F8" i="3"/>
  <c r="J7" i="3" a="1"/>
  <c r="J7" i="3" s="1"/>
  <c r="F7" i="3"/>
  <c r="J6" i="3" a="1"/>
  <c r="J6" i="3" s="1"/>
  <c r="F6" i="3"/>
  <c r="J5" i="3" a="1"/>
  <c r="J5" i="3" s="1"/>
  <c r="F5" i="3"/>
  <c r="J4" i="3" a="1"/>
  <c r="J4" i="3" s="1"/>
  <c r="F4" i="3"/>
  <c r="J3" i="3" a="1"/>
  <c r="J3" i="3" s="1"/>
  <c r="J2" i="3" a="1"/>
  <c r="J2" i="3" s="1"/>
  <c r="F2" i="3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/>
  <c r="J91" i="1" a="1"/>
  <c r="J91" i="1"/>
  <c r="J92" i="1" a="1"/>
  <c r="J92" i="1"/>
  <c r="J93" i="1" a="1"/>
  <c r="J93" i="1"/>
  <c r="J94" i="1" a="1"/>
  <c r="J94" i="1"/>
  <c r="J95" i="1" a="1"/>
  <c r="J95" i="1"/>
  <c r="J96" i="1" a="1"/>
  <c r="J96" i="1"/>
  <c r="J97" i="1" a="1"/>
  <c r="J97" i="1"/>
  <c r="J98" i="1" a="1"/>
  <c r="J98" i="1"/>
  <c r="J99" i="1" a="1"/>
  <c r="J99" i="1"/>
  <c r="J100" i="1" a="1"/>
  <c r="J100" i="1"/>
  <c r="J101" i="1" a="1"/>
  <c r="J101" i="1"/>
  <c r="J102" i="1" a="1"/>
  <c r="J102" i="1"/>
  <c r="J103" i="1" a="1"/>
  <c r="J103" i="1"/>
  <c r="J104" i="1" a="1"/>
  <c r="J104" i="1"/>
  <c r="J105" i="1" a="1"/>
  <c r="J105" i="1"/>
  <c r="J106" i="1" a="1"/>
  <c r="J106" i="1"/>
  <c r="J107" i="1" a="1"/>
  <c r="J107" i="1"/>
  <c r="J108" i="1" a="1"/>
  <c r="J108" i="1"/>
  <c r="J109" i="1" a="1"/>
  <c r="J109" i="1"/>
  <c r="J110" i="1" a="1"/>
  <c r="J110" i="1"/>
  <c r="J111" i="1" a="1"/>
  <c r="J111" i="1"/>
  <c r="J112" i="1" a="1"/>
  <c r="J112" i="1"/>
  <c r="J113" i="1" a="1"/>
  <c r="J113" i="1"/>
  <c r="J114" i="1" a="1"/>
  <c r="J114" i="1"/>
  <c r="J115" i="1" a="1"/>
  <c r="J115" i="1"/>
  <c r="J116" i="1" a="1"/>
  <c r="J116" i="1"/>
  <c r="J117" i="1" a="1"/>
  <c r="J117" i="1"/>
  <c r="J118" i="1" a="1"/>
  <c r="J118" i="1"/>
  <c r="J119" i="1" a="1"/>
  <c r="J119" i="1"/>
  <c r="J120" i="1" a="1"/>
  <c r="J120" i="1"/>
  <c r="J121" i="1" a="1"/>
  <c r="J121" i="1"/>
  <c r="J122" i="1" a="1"/>
  <c r="J122" i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<sst xmlns="http://schemas.openxmlformats.org/spreadsheetml/2006/main" count="1666" uniqueCount="210">
  <si>
    <t>Row Labels</t>
  </si>
  <si>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</si>
  <si>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</si>
  <si>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</si>
  <si>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</si>
  <si>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</si>
  <si>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</si>
  <si>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</si>
  <si>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</si>
  <si>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</si>
  <si>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</si>
  <si>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</si>
  <si>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</si>
  <si>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</si>
  <si>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</si>
  <si>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</si>
  <si>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</si>
  <si>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</si>
  <si>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</si>
  <si>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</si>
  <si>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</si>
  <si>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</si>
  <si>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</si>
  <si>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</si>
  <si>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</si>
  <si>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</si>
  <si>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</si>
  <si>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</si>
  <si>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</si>
  <si>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</si>
  <si>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</si>
  <si>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</si>
  <si>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Grand Total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</si>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</sst>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[$$-409]#,##0"/>
    <numFmt numFmtId="166" formatCode="_-[$$-409]* #,##0_ ;_-[$$-409]* \-#,##0\ ;_-[$$-409]* &quot;-&quot;??_ ;_-@_ "/>
    <numFmt numFmtId="167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7" fontId="0" fillId="0" borderId="0" xfId="0" applyNumberFormat="1"/>
    <xf numFmtId="0" fontId="13" fillId="12" borderId="11" xfId="21" applyFont="1" applyBorder="1"/>
    <xf numFmtId="0" fontId="18" fillId="32" borderId="12" xfId="41" applyFont="1" applyBorder="1"/>
    <xf numFmtId="164" fontId="13" fillId="12" borderId="11" xfId="21" applyNumberFormat="1" applyFont="1" applyBorder="1"/>
    <xf numFmtId="165" fontId="0" fillId="33" borderId="10" xfId="0" applyNumberFormat="1" applyFill="1" applyBorder="1"/>
    <xf numFmtId="165" fontId="0" fillId="33" borderId="13" xfId="0" applyNumberFormat="1" applyFill="1" applyBorder="1"/>
    <xf numFmtId="165" fontId="0" fillId="0" borderId="0" xfId="0" applyNumberFormat="1"/>
    <xf numFmtId="1" fontId="0" fillId="33" borderId="10" xfId="0" applyNumberFormat="1" applyFill="1" applyBorder="1"/>
    <xf numFmtId="0" fontId="13" fillId="12" borderId="11" xfId="21" applyFont="1" applyBorder="1" applyAlignment="1">
      <alignment horizontal="center"/>
    </xf>
    <xf numFmtId="165" fontId="0" fillId="33" borderId="10" xfId="0" applyNumberFormat="1" applyFill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33" borderId="13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8" fillId="32" borderId="12" xfId="41" applyFont="1" applyBorder="1" applyAlignment="1">
      <alignment horizontal="center"/>
    </xf>
    <xf numFmtId="9" fontId="13" fillId="12" borderId="11" xfId="42" applyFont="1" applyFill="1" applyBorder="1" applyAlignment="1">
      <alignment horizontal="center"/>
    </xf>
    <xf numFmtId="9" fontId="0" fillId="33" borderId="10" xfId="42" applyFont="1" applyFill="1" applyBorder="1" applyAlignment="1">
      <alignment horizontal="center"/>
    </xf>
    <xf numFmtId="9" fontId="0" fillId="0" borderId="0" xfId="42" applyFont="1" applyBorder="1" applyAlignment="1">
      <alignment horizontal="center"/>
    </xf>
    <xf numFmtId="9" fontId="0" fillId="0" borderId="0" xfId="42" applyFont="1" applyFill="1" applyBorder="1" applyAlignment="1">
      <alignment horizontal="center"/>
    </xf>
    <xf numFmtId="164" fontId="13" fillId="12" borderId="11" xfId="21" applyNumberFormat="1" applyFont="1" applyBorder="1" applyAlignment="1">
      <alignment horizontal="center"/>
    </xf>
    <xf numFmtId="0" fontId="13" fillId="0" borderId="0" xfId="21" applyFont="1" applyFill="1" applyBorder="1"/>
    <xf numFmtId="0" fontId="18" fillId="0" borderId="0" xfId="41" applyFont="1" applyFill="1" applyBorder="1"/>
    <xf numFmtId="0" fontId="13" fillId="12" borderId="14" xfId="21" applyFont="1" applyBorder="1"/>
    <xf numFmtId="0" fontId="18" fillId="32" borderId="15" xfId="41" applyFont="1" applyBorder="1"/>
    <xf numFmtId="164" fontId="13" fillId="0" borderId="0" xfId="21" applyNumberFormat="1" applyFont="1" applyFill="1" applyBorder="1"/>
    <xf numFmtId="167" fontId="0" fillId="0" borderId="0" xfId="0" pivotButton="1" applyNumberFormat="1"/>
    <xf numFmtId="0" fontId="16" fillId="16" borderId="12" xfId="25" applyFont="1" applyBorder="1"/>
    <xf numFmtId="9" fontId="0" fillId="33" borderId="10" xfId="42" applyFont="1" applyFill="1" applyBorder="1"/>
    <xf numFmtId="0" fontId="0" fillId="33" borderId="10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9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8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800" b="0" i="0" baseline="0">
                <a:effectLst/>
              </a:rPr>
              <a:t>Ford car Price</a:t>
            </a:r>
            <a:endParaRPr lang="en-I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717869641294838"/>
          <c:y val="0.22726851851851851"/>
          <c:w val="0.86377077865266838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'Line Chart'!$F$1</c:f>
              <c:strCache>
                <c:ptCount val="1"/>
                <c:pt idx="0">
                  <c:v>Model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'Line Chart'!$F$2:$F$43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4C-4EDF-A5AF-2AA7A797C698}"/>
            </c:ext>
          </c:extLst>
        </c:ser>
        <c:ser>
          <c:idx val="1"/>
          <c:order val="1"/>
          <c:tx>
            <c:strRef>
              <c:f>'Line Chart'!$G$1</c:f>
              <c:strCache>
                <c:ptCount val="1"/>
                <c:pt idx="0">
                  <c:v>Price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'Line Chart'!$G$2:$G$43</c:f>
              <c:numCache>
                <c:formatCode>[$$-409]#,##0</c:formatCode>
                <c:ptCount val="42"/>
                <c:pt idx="0">
                  <c:v>21500</c:v>
                </c:pt>
                <c:pt idx="1">
                  <c:v>28400</c:v>
                </c:pt>
                <c:pt idx="2">
                  <c:v>42000</c:v>
                </c:pt>
                <c:pt idx="3">
                  <c:v>23990</c:v>
                </c:pt>
                <c:pt idx="4">
                  <c:v>33950</c:v>
                </c:pt>
                <c:pt idx="5">
                  <c:v>62000</c:v>
                </c:pt>
                <c:pt idx="6">
                  <c:v>26990</c:v>
                </c:pt>
                <c:pt idx="7">
                  <c:v>33400</c:v>
                </c:pt>
                <c:pt idx="8">
                  <c:v>38900</c:v>
                </c:pt>
                <c:pt idx="9">
                  <c:v>21975</c:v>
                </c:pt>
                <c:pt idx="10">
                  <c:v>25300</c:v>
                </c:pt>
                <c:pt idx="11">
                  <c:v>31965</c:v>
                </c:pt>
                <c:pt idx="12">
                  <c:v>27885</c:v>
                </c:pt>
                <c:pt idx="13">
                  <c:v>39895</c:v>
                </c:pt>
                <c:pt idx="14">
                  <c:v>44475</c:v>
                </c:pt>
                <c:pt idx="15">
                  <c:v>39665</c:v>
                </c:pt>
                <c:pt idx="16">
                  <c:v>31010</c:v>
                </c:pt>
                <c:pt idx="17">
                  <c:v>46225</c:v>
                </c:pt>
                <c:pt idx="18">
                  <c:v>13260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4C-4EDF-A5AF-2AA7A797C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1160223"/>
        <c:axId val="1468964703"/>
      </c:lineChart>
      <c:catAx>
        <c:axId val="1631160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964703"/>
        <c:crosses val="autoZero"/>
        <c:auto val="1"/>
        <c:lblAlgn val="ctr"/>
        <c:lblOffset val="100"/>
        <c:noMultiLvlLbl val="0"/>
      </c:catAx>
      <c:valAx>
        <c:axId val="146896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16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[Car_Sales_Kaggle_DV0130EN_Lab1_Start.xlsx]Line Chart!PivotTable4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dk1">
                <a:tint val="885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dk1">
                    <a:tint val="885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'Line Chart'!$A$4:$A$34</c:f>
              <c:strCache>
                <c:ptCount val="30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  <c:pt idx="4">
                  <c:v>Cadillac</c:v>
                </c:pt>
                <c:pt idx="5">
                  <c:v>Chevrolet</c:v>
                </c:pt>
                <c:pt idx="6">
                  <c:v>Chrysler</c:v>
                </c:pt>
                <c:pt idx="7">
                  <c:v>Dodge</c:v>
                </c:pt>
                <c:pt idx="8">
                  <c:v>Ford</c:v>
                </c:pt>
                <c:pt idx="9">
                  <c:v>Honda</c:v>
                </c:pt>
                <c:pt idx="10">
                  <c:v>Hyundai</c:v>
                </c:pt>
                <c:pt idx="11">
                  <c:v>Infiniti</c:v>
                </c:pt>
                <c:pt idx="12">
                  <c:v>Jaguar</c:v>
                </c:pt>
                <c:pt idx="13">
                  <c:v>Jeep</c:v>
                </c:pt>
                <c:pt idx="14">
                  <c:v>Lexus</c:v>
                </c:pt>
                <c:pt idx="15">
                  <c:v>Lincoln</c:v>
                </c:pt>
                <c:pt idx="16">
                  <c:v>Mercedes-B</c:v>
                </c:pt>
                <c:pt idx="17">
                  <c:v>Mercury</c:v>
                </c:pt>
                <c:pt idx="18">
                  <c:v>Mitsubishi</c:v>
                </c:pt>
                <c:pt idx="19">
                  <c:v>Nissan</c:v>
                </c:pt>
                <c:pt idx="20">
                  <c:v>Oldsmobile</c:v>
                </c:pt>
                <c:pt idx="21">
                  <c:v>Plymouth</c:v>
                </c:pt>
                <c:pt idx="22">
                  <c:v>Pontiac</c:v>
                </c:pt>
                <c:pt idx="23">
                  <c:v>Porsche</c:v>
                </c:pt>
                <c:pt idx="24">
                  <c:v>Saab</c:v>
                </c:pt>
                <c:pt idx="25">
                  <c:v>Saturn</c:v>
                </c:pt>
                <c:pt idx="26">
                  <c:v>Subaru</c:v>
                </c:pt>
                <c:pt idx="27">
                  <c:v>Toyota</c:v>
                </c:pt>
                <c:pt idx="28">
                  <c:v>Volkswagen</c:v>
                </c:pt>
                <c:pt idx="29">
                  <c:v>Volvo</c:v>
                </c:pt>
              </c:strCache>
            </c:strRef>
          </c:cat>
          <c:val>
            <c:numRef>
              <c:f>'Line Chart'!$B$4:$B$34</c:f>
              <c:numCache>
                <c:formatCode>0%</c:formatCode>
                <c:ptCount val="30"/>
                <c:pt idx="0">
                  <c:v>0.72283075715273559</c:v>
                </c:pt>
                <c:pt idx="1">
                  <c:v>0.75017496343463141</c:v>
                </c:pt>
                <c:pt idx="2">
                  <c:v>0.89831326065008865</c:v>
                </c:pt>
                <c:pt idx="3">
                  <c:v>0.55537813446542739</c:v>
                </c:pt>
                <c:pt idx="4">
                  <c:v>0.61722828360562432</c:v>
                </c:pt>
                <c:pt idx="5">
                  <c:v>0.61398662152068761</c:v>
                </c:pt>
                <c:pt idx="6">
                  <c:v>0.63808410014071748</c:v>
                </c:pt>
                <c:pt idx="7">
                  <c:v>0.6796460302270696</c:v>
                </c:pt>
                <c:pt idx="8">
                  <c:v>0.60292248413258964</c:v>
                </c:pt>
                <c:pt idx="9">
                  <c:v>0.77905831386241053</c:v>
                </c:pt>
                <c:pt idx="10">
                  <c:v>0.62047246570387882</c:v>
                </c:pt>
                <c:pt idx="11">
                  <c:v>0.66825046665535381</c:v>
                </c:pt>
                <c:pt idx="12">
                  <c:v>0.77614485981308412</c:v>
                </c:pt>
                <c:pt idx="13">
                  <c:v>0.75613636328610434</c:v>
                </c:pt>
                <c:pt idx="14">
                  <c:v>0.81091600903068206</c:v>
                </c:pt>
                <c:pt idx="15">
                  <c:v>0.50444839109240924</c:v>
                </c:pt>
                <c:pt idx="16">
                  <c:v>0.76365249235079324</c:v>
                </c:pt>
                <c:pt idx="17">
                  <c:v>0.66961809678652795</c:v>
                </c:pt>
                <c:pt idx="18">
                  <c:v>0.63638127454547899</c:v>
                </c:pt>
                <c:pt idx="19">
                  <c:v>0.58818618467041606</c:v>
                </c:pt>
                <c:pt idx="20">
                  <c:v>0.62260326868233029</c:v>
                </c:pt>
                <c:pt idx="21">
                  <c:v>0.64207103101350915</c:v>
                </c:pt>
                <c:pt idx="22">
                  <c:v>0.6035529991311378</c:v>
                </c:pt>
                <c:pt idx="23">
                  <c:v>0.91677172640888882</c:v>
                </c:pt>
                <c:pt idx="24">
                  <c:v>0.6937494794269532</c:v>
                </c:pt>
                <c:pt idx="25">
                  <c:v>0.76957152312403621</c:v>
                </c:pt>
                <c:pt idx="26">
                  <c:v>0.73851166641203791</c:v>
                </c:pt>
                <c:pt idx="27">
                  <c:v>0.79241849164217204</c:v>
                </c:pt>
                <c:pt idx="28">
                  <c:v>0.78629912727522022</c:v>
                </c:pt>
                <c:pt idx="29">
                  <c:v>0.68527031080258538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7-4816-B620-C64061331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6424319"/>
        <c:axId val="1574767727"/>
      </c:lineChart>
      <c:catAx>
        <c:axId val="182642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67727"/>
        <c:crosses val="autoZero"/>
        <c:auto val="1"/>
        <c:lblAlgn val="ctr"/>
        <c:lblOffset val="100"/>
        <c:noMultiLvlLbl val="0"/>
      </c:catAx>
      <c:valAx>
        <c:axId val="157476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42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Unit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A89-41CC-B2A4-CAA2246F8B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A89-41CC-B2A4-CAA2246F8B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A89-41CC-B2A4-CAA2246F8B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A89-41CC-B2A4-CAA2246F8B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A89-41CC-B2A4-CAA2246F8B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9A89-41CC-B2A4-CAA2246F8B3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A89-41CC-B2A4-CAA2246F8B3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9A89-41CC-B2A4-CAA2246F8B3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A89-41CC-B2A4-CAA2246F8B3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9A89-41CC-B2A4-CAA2246F8B3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A89-41CC-B2A4-CAA2246F8B3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9A89-41CC-B2A4-CAA2246F8B3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A89-41CC-B2A4-CAA2246F8B3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9A89-41CC-B2A4-CAA2246F8B3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A89-41CC-B2A4-CAA2246F8B3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9A89-41CC-B2A4-CAA2246F8B3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9A89-41CC-B2A4-CAA2246F8B3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9A89-41CC-B2A4-CAA2246F8B3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9A89-41CC-B2A4-CAA2246F8B3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9A89-41CC-B2A4-CAA2246F8B3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A89-41CC-B2A4-CAA2246F8B3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9A89-41CC-B2A4-CAA2246F8B3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A89-41CC-B2A4-CAA2246F8B3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9A89-41CC-B2A4-CAA2246F8B3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9A89-41CC-B2A4-CAA2246F8B3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9A89-41CC-B2A4-CAA2246F8B3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A89-41CC-B2A4-CAA2246F8B3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9A89-41CC-B2A4-CAA2246F8B3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9A89-41CC-B2A4-CAA2246F8B3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9A89-41CC-B2A4-CAA2246F8B3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A89-41CC-B2A4-CAA2246F8B33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9A89-41CC-B2A4-CAA2246F8B33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A89-41CC-B2A4-CAA2246F8B33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9A89-41CC-B2A4-CAA2246F8B33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A89-41CC-B2A4-CAA2246F8B33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9A89-41CC-B2A4-CAA2246F8B33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9A89-41CC-B2A4-CAA2246F8B33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9A89-41CC-B2A4-CAA2246F8B33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9A89-41CC-B2A4-CAA2246F8B33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9A89-41CC-B2A4-CAA2246F8B33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9A89-41CC-B2A4-CAA2246F8B33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9A89-41CC-B2A4-CAA2246F8B33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9A89-41CC-B2A4-CAA2246F8B33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9A89-41CC-B2A4-CAA2246F8B33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9A89-41CC-B2A4-CAA2246F8B33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6-9A89-41CC-B2A4-CAA2246F8B33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9A89-41CC-B2A4-CAA2246F8B33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8-9A89-41CC-B2A4-CAA2246F8B3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Chart'!$A$2:$A$25</c:f>
              <c:strCache>
                <c:ptCount val="24"/>
                <c:pt idx="0">
                  <c:v>Integra</c:v>
                </c:pt>
                <c:pt idx="1">
                  <c:v>TL</c:v>
                </c:pt>
                <c:pt idx="2">
                  <c:v>RL</c:v>
                </c:pt>
                <c:pt idx="3">
                  <c:v>A4</c:v>
                </c:pt>
                <c:pt idx="4">
                  <c:v>A6</c:v>
                </c:pt>
                <c:pt idx="5">
                  <c:v>A8</c:v>
                </c:pt>
                <c:pt idx="6">
                  <c:v>323i</c:v>
                </c:pt>
                <c:pt idx="7">
                  <c:v>328i</c:v>
                </c:pt>
                <c:pt idx="8">
                  <c:v>528i</c:v>
                </c:pt>
                <c:pt idx="9">
                  <c:v>Century</c:v>
                </c:pt>
                <c:pt idx="10">
                  <c:v>Regal</c:v>
                </c:pt>
                <c:pt idx="11">
                  <c:v>Park Avenue</c:v>
                </c:pt>
                <c:pt idx="12">
                  <c:v>LeSabre</c:v>
                </c:pt>
                <c:pt idx="13">
                  <c:v>DeVille</c:v>
                </c:pt>
                <c:pt idx="14">
                  <c:v>Seville</c:v>
                </c:pt>
                <c:pt idx="15">
                  <c:v>Eldorado</c:v>
                </c:pt>
                <c:pt idx="16">
                  <c:v>Catera</c:v>
                </c:pt>
                <c:pt idx="17">
                  <c:v>Corvette</c:v>
                </c:pt>
                <c:pt idx="18">
                  <c:v>Prizm</c:v>
                </c:pt>
                <c:pt idx="19">
                  <c:v>Metro</c:v>
                </c:pt>
                <c:pt idx="20">
                  <c:v>Impala</c:v>
                </c:pt>
                <c:pt idx="21">
                  <c:v>Sebring Coupe</c:v>
                </c:pt>
                <c:pt idx="22">
                  <c:v>Sebring Conv.</c:v>
                </c:pt>
                <c:pt idx="23">
                  <c:v>Cirrus</c:v>
                </c:pt>
              </c:strCache>
            </c:strRef>
          </c:cat>
          <c:val>
            <c:numRef>
              <c:f>'Pie Chart'!$B$2:$B$25</c:f>
              <c:numCache>
                <c:formatCode>0</c:formatCode>
                <c:ptCount val="24"/>
                <c:pt idx="0">
                  <c:v>16919</c:v>
                </c:pt>
                <c:pt idx="1">
                  <c:v>39384</c:v>
                </c:pt>
                <c:pt idx="2">
                  <c:v>8588</c:v>
                </c:pt>
                <c:pt idx="3">
                  <c:v>20397</c:v>
                </c:pt>
                <c:pt idx="4">
                  <c:v>18780</c:v>
                </c:pt>
                <c:pt idx="5">
                  <c:v>1380</c:v>
                </c:pt>
                <c:pt idx="6">
                  <c:v>19747</c:v>
                </c:pt>
                <c:pt idx="7">
                  <c:v>9231</c:v>
                </c:pt>
                <c:pt idx="8">
                  <c:v>17527</c:v>
                </c:pt>
                <c:pt idx="9">
                  <c:v>91561</c:v>
                </c:pt>
                <c:pt idx="10">
                  <c:v>39350</c:v>
                </c:pt>
                <c:pt idx="11">
                  <c:v>27851</c:v>
                </c:pt>
                <c:pt idx="12">
                  <c:v>83257</c:v>
                </c:pt>
                <c:pt idx="13">
                  <c:v>63729</c:v>
                </c:pt>
                <c:pt idx="14">
                  <c:v>15943</c:v>
                </c:pt>
                <c:pt idx="15">
                  <c:v>6536</c:v>
                </c:pt>
                <c:pt idx="16">
                  <c:v>11185</c:v>
                </c:pt>
                <c:pt idx="17">
                  <c:v>14785</c:v>
                </c:pt>
                <c:pt idx="18">
                  <c:v>145519</c:v>
                </c:pt>
                <c:pt idx="19">
                  <c:v>135126</c:v>
                </c:pt>
                <c:pt idx="20">
                  <c:v>24629</c:v>
                </c:pt>
                <c:pt idx="21">
                  <c:v>42593</c:v>
                </c:pt>
                <c:pt idx="22">
                  <c:v>26402</c:v>
                </c:pt>
                <c:pt idx="23">
                  <c:v>17947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9-41CC-B2A4-CAA2246F8B3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'Bar Chart'!$F$1</c:f>
              <c:strCache>
                <c:ptCount val="1"/>
                <c:pt idx="0">
                  <c:v>Model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'Bar Chart'!$F$2:$F$37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7-433E-BA9C-B454A8D8F74F}"/>
            </c:ext>
          </c:extLst>
        </c:ser>
        <c:ser>
          <c:idx val="1"/>
          <c:order val="1"/>
          <c:tx>
            <c:strRef>
              <c:f>'Bar Chart'!$G$1</c:f>
              <c:strCache>
                <c:ptCount val="1"/>
                <c:pt idx="0">
                  <c:v>Retention 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'Bar Chart'!$G$2:$G$37</c:f>
              <c:numCache>
                <c:formatCode>0%</c:formatCode>
                <c:ptCount val="36"/>
                <c:pt idx="0">
                  <c:v>0.76093023255813952</c:v>
                </c:pt>
                <c:pt idx="1">
                  <c:v>0.69982394366197187</c:v>
                </c:pt>
                <c:pt idx="2">
                  <c:v>0.70773809523809528</c:v>
                </c:pt>
                <c:pt idx="3">
                  <c:v>0.92767819924968742</c:v>
                </c:pt>
                <c:pt idx="4">
                  <c:v>0.6938144329896907</c:v>
                </c:pt>
                <c:pt idx="5">
                  <c:v>0.62903225806451613</c:v>
                </c:pt>
                <c:pt idx="6">
                  <c:v>0.9077436087439793</c:v>
                </c:pt>
                <c:pt idx="7">
                  <c:v>0.85853293413173648</c:v>
                </c:pt>
                <c:pt idx="8">
                  <c:v>0.92866323907455017</c:v>
                </c:pt>
                <c:pt idx="9">
                  <c:v>0.56769055745164965</c:v>
                </c:pt>
                <c:pt idx="10">
                  <c:v>0.54308300395256914</c:v>
                </c:pt>
                <c:pt idx="11">
                  <c:v>0.63162834350070385</c:v>
                </c:pt>
                <c:pt idx="12">
                  <c:v>0.4791106329567868</c:v>
                </c:pt>
                <c:pt idx="13">
                  <c:v>0.56460709362075445</c:v>
                </c:pt>
                <c:pt idx="14">
                  <c:v>0.60933108487914556</c:v>
                </c:pt>
                <c:pt idx="15">
                  <c:v>0.6485566620446237</c:v>
                </c:pt>
                <c:pt idx="16">
                  <c:v>0.58771364076104482</c:v>
                </c:pt>
                <c:pt idx="17">
                  <c:v>0.67593293672255272</c:v>
                </c:pt>
                <c:pt idx="18">
                  <c:v>0.69758672699849167</c:v>
                </c:pt>
                <c:pt idx="19">
                  <c:v>0.67886301784094349</c:v>
                </c:pt>
                <c:pt idx="20">
                  <c:v>0.54579142403388037</c:v>
                </c:pt>
                <c:pt idx="21">
                  <c:v>0.59437854564208359</c:v>
                </c:pt>
                <c:pt idx="22">
                  <c:v>0.53512736236647496</c:v>
                </c:pt>
                <c:pt idx="23">
                  <c:v>0.65030069114083111</c:v>
                </c:pt>
                <c:pt idx="24">
                  <c:v>0.65365329512893988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E7-433E-BA9C-B454A8D8F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1164399"/>
        <c:axId val="1474737919"/>
      </c:barChart>
      <c:catAx>
        <c:axId val="1631164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37919"/>
        <c:crosses val="autoZero"/>
        <c:auto val="1"/>
        <c:lblAlgn val="ctr"/>
        <c:lblOffset val="100"/>
        <c:noMultiLvlLbl val="0"/>
      </c:catAx>
      <c:valAx>
        <c:axId val="147473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16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3434253816864442"/>
          <c:y val="2.52047939121094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Treemaps!$F$1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Treemaps!$E$2:$E$10</c:f>
              <c:numCache>
                <c:formatCode>[$$-409]#,##0</c:formatCode>
                <c:ptCount val="9"/>
                <c:pt idx="0">
                  <c:v>21500</c:v>
                </c:pt>
                <c:pt idx="1">
                  <c:v>28400</c:v>
                </c:pt>
                <c:pt idx="2">
                  <c:v>42000</c:v>
                </c:pt>
                <c:pt idx="3">
                  <c:v>23990</c:v>
                </c:pt>
                <c:pt idx="4">
                  <c:v>33950</c:v>
                </c:pt>
                <c:pt idx="5">
                  <c:v>62000</c:v>
                </c:pt>
                <c:pt idx="6">
                  <c:v>26990</c:v>
                </c:pt>
                <c:pt idx="7">
                  <c:v>33400</c:v>
                </c:pt>
                <c:pt idx="8">
                  <c:v>38900</c:v>
                </c:pt>
              </c:numCache>
            </c:numRef>
          </c:xVal>
          <c:yVal>
            <c:numRef>
              <c:f>Treemaps!$F$2:$F$10</c:f>
              <c:numCache>
                <c:formatCode>[$$-409]#,##0</c:formatCode>
                <c:ptCount val="9"/>
                <c:pt idx="0">
                  <c:v>16360</c:v>
                </c:pt>
                <c:pt idx="1">
                  <c:v>19875</c:v>
                </c:pt>
                <c:pt idx="2">
                  <c:v>29725</c:v>
                </c:pt>
                <c:pt idx="3">
                  <c:v>22255</c:v>
                </c:pt>
                <c:pt idx="4">
                  <c:v>23555</c:v>
                </c:pt>
                <c:pt idx="5">
                  <c:v>39000</c:v>
                </c:pt>
                <c:pt idx="6">
                  <c:v>24500</c:v>
                </c:pt>
                <c:pt idx="7">
                  <c:v>28675</c:v>
                </c:pt>
                <c:pt idx="8">
                  <c:v>36125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A8-40EE-B194-45EFB0929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500848"/>
        <c:axId val="1830718848"/>
      </c:scatterChart>
      <c:valAx>
        <c:axId val="191850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resale value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718848"/>
        <c:crosses val="autoZero"/>
        <c:crossBetween val="midCat"/>
      </c:valAx>
      <c:valAx>
        <c:axId val="183071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500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Unit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94D-455E-904B-E9B142319FF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dk1">
                      <a:tint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94D-455E-904B-E9B142319FF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dk1">
                      <a:tint val="7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7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7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94D-455E-904B-E9B142319FF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dk1">
                      <a:tint val="9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9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9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94D-455E-904B-E9B142319FF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dk1">
                      <a:tint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94D-455E-904B-E9B142319FF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dk1">
                      <a:tint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94D-455E-904B-E9B142319FF1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dk1">
                      <a:tint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94D-455E-904B-E9B142319FF1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94D-455E-904B-E9B142319FF1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dk1">
                      <a:tint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94D-455E-904B-E9B142319FF1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dk1">
                      <a:tint val="7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7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7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94D-455E-904B-E9B142319FF1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dk1">
                      <a:tint val="9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9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9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94D-455E-904B-E9B142319FF1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dk1">
                      <a:tint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94D-455E-904B-E9B142319FF1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dk1">
                      <a:tint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94D-455E-904B-E9B142319FF1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dk1">
                      <a:tint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94D-455E-904B-E9B142319FF1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094D-455E-904B-E9B142319FF1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dk1">
                      <a:tint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094D-455E-904B-E9B142319FF1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dk1">
                      <a:tint val="7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7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7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094D-455E-904B-E9B142319FF1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dk1">
                      <a:tint val="9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9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9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094D-455E-904B-E9B142319FF1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dk1">
                      <a:tint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094D-455E-904B-E9B142319FF1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dk1">
                      <a:tint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094D-455E-904B-E9B142319FF1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dk1">
                      <a:tint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094D-455E-904B-E9B142319FF1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094D-455E-904B-E9B142319FF1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dk1">
                      <a:tint val="5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5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5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094D-455E-904B-E9B142319FF1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dk1">
                      <a:tint val="7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7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7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094D-455E-904B-E9B142319F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Chart'!$A$2:$A$25</c:f>
              <c:strCache>
                <c:ptCount val="24"/>
                <c:pt idx="0">
                  <c:v>Integra</c:v>
                </c:pt>
                <c:pt idx="1">
                  <c:v>TL</c:v>
                </c:pt>
                <c:pt idx="2">
                  <c:v>RL</c:v>
                </c:pt>
                <c:pt idx="3">
                  <c:v>A4</c:v>
                </c:pt>
                <c:pt idx="4">
                  <c:v>A6</c:v>
                </c:pt>
                <c:pt idx="5">
                  <c:v>A8</c:v>
                </c:pt>
                <c:pt idx="6">
                  <c:v>323i</c:v>
                </c:pt>
                <c:pt idx="7">
                  <c:v>328i</c:v>
                </c:pt>
                <c:pt idx="8">
                  <c:v>528i</c:v>
                </c:pt>
                <c:pt idx="9">
                  <c:v>Century</c:v>
                </c:pt>
                <c:pt idx="10">
                  <c:v>Regal</c:v>
                </c:pt>
                <c:pt idx="11">
                  <c:v>Park Avenue</c:v>
                </c:pt>
                <c:pt idx="12">
                  <c:v>LeSabre</c:v>
                </c:pt>
                <c:pt idx="13">
                  <c:v>DeVille</c:v>
                </c:pt>
                <c:pt idx="14">
                  <c:v>Seville</c:v>
                </c:pt>
                <c:pt idx="15">
                  <c:v>Eldorado</c:v>
                </c:pt>
                <c:pt idx="16">
                  <c:v>Catera</c:v>
                </c:pt>
                <c:pt idx="17">
                  <c:v>Corvette</c:v>
                </c:pt>
                <c:pt idx="18">
                  <c:v>Prizm</c:v>
                </c:pt>
                <c:pt idx="19">
                  <c:v>Metro</c:v>
                </c:pt>
                <c:pt idx="20">
                  <c:v>Impala</c:v>
                </c:pt>
                <c:pt idx="21">
                  <c:v>Sebring Coupe</c:v>
                </c:pt>
                <c:pt idx="22">
                  <c:v>Sebring Conv.</c:v>
                </c:pt>
                <c:pt idx="23">
                  <c:v>Cirrus</c:v>
                </c:pt>
              </c:strCache>
            </c:strRef>
          </c:cat>
          <c:val>
            <c:numRef>
              <c:f>'Pie Chart'!$B$2:$B$25</c:f>
              <c:numCache>
                <c:formatCode>0</c:formatCode>
                <c:ptCount val="24"/>
                <c:pt idx="0">
                  <c:v>16919</c:v>
                </c:pt>
                <c:pt idx="1">
                  <c:v>39384</c:v>
                </c:pt>
                <c:pt idx="2">
                  <c:v>8588</c:v>
                </c:pt>
                <c:pt idx="3">
                  <c:v>20397</c:v>
                </c:pt>
                <c:pt idx="4">
                  <c:v>18780</c:v>
                </c:pt>
                <c:pt idx="5">
                  <c:v>1380</c:v>
                </c:pt>
                <c:pt idx="6">
                  <c:v>19747</c:v>
                </c:pt>
                <c:pt idx="7">
                  <c:v>9231</c:v>
                </c:pt>
                <c:pt idx="8">
                  <c:v>17527</c:v>
                </c:pt>
                <c:pt idx="9">
                  <c:v>91561</c:v>
                </c:pt>
                <c:pt idx="10">
                  <c:v>39350</c:v>
                </c:pt>
                <c:pt idx="11">
                  <c:v>27851</c:v>
                </c:pt>
                <c:pt idx="12">
                  <c:v>83257</c:v>
                </c:pt>
                <c:pt idx="13">
                  <c:v>63729</c:v>
                </c:pt>
                <c:pt idx="14">
                  <c:v>15943</c:v>
                </c:pt>
                <c:pt idx="15">
                  <c:v>6536</c:v>
                </c:pt>
                <c:pt idx="16">
                  <c:v>11185</c:v>
                </c:pt>
                <c:pt idx="17">
                  <c:v>14785</c:v>
                </c:pt>
                <c:pt idx="18">
                  <c:v>145519</c:v>
                </c:pt>
                <c:pt idx="19">
                  <c:v>135126</c:v>
                </c:pt>
                <c:pt idx="20">
                  <c:v>24629</c:v>
                </c:pt>
                <c:pt idx="21">
                  <c:v>42593</c:v>
                </c:pt>
                <c:pt idx="22">
                  <c:v>26402</c:v>
                </c:pt>
                <c:pt idx="23">
                  <c:v>17947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094D-455E-904B-E9B142319FF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[Car_Sales_Kaggle_DV0130EN_Lab1_Start.xlsx]Line Chart!PivotTable4</c:name>
    <c:fmtId val="3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dk1">
                <a:tint val="88500"/>
              </a:schemeClr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dk1">
                    <a:tint val="885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'Line Chart'!$A$4:$A$34</c:f>
              <c:strCache>
                <c:ptCount val="30"/>
                <c:pt idx="0">
                  <c:v>Acura</c:v>
                </c:pt>
                <c:pt idx="1">
                  <c:v>Audi</c:v>
                </c:pt>
                <c:pt idx="2">
                  <c:v>BMW</c:v>
                </c:pt>
                <c:pt idx="3">
                  <c:v>Buick</c:v>
                </c:pt>
                <c:pt idx="4">
                  <c:v>Cadillac</c:v>
                </c:pt>
                <c:pt idx="5">
                  <c:v>Chevrolet</c:v>
                </c:pt>
                <c:pt idx="6">
                  <c:v>Chrysler</c:v>
                </c:pt>
                <c:pt idx="7">
                  <c:v>Dodge</c:v>
                </c:pt>
                <c:pt idx="8">
                  <c:v>Ford</c:v>
                </c:pt>
                <c:pt idx="9">
                  <c:v>Honda</c:v>
                </c:pt>
                <c:pt idx="10">
                  <c:v>Hyundai</c:v>
                </c:pt>
                <c:pt idx="11">
                  <c:v>Infiniti</c:v>
                </c:pt>
                <c:pt idx="12">
                  <c:v>Jaguar</c:v>
                </c:pt>
                <c:pt idx="13">
                  <c:v>Jeep</c:v>
                </c:pt>
                <c:pt idx="14">
                  <c:v>Lexus</c:v>
                </c:pt>
                <c:pt idx="15">
                  <c:v>Lincoln</c:v>
                </c:pt>
                <c:pt idx="16">
                  <c:v>Mercedes-B</c:v>
                </c:pt>
                <c:pt idx="17">
                  <c:v>Mercury</c:v>
                </c:pt>
                <c:pt idx="18">
                  <c:v>Mitsubishi</c:v>
                </c:pt>
                <c:pt idx="19">
                  <c:v>Nissan</c:v>
                </c:pt>
                <c:pt idx="20">
                  <c:v>Oldsmobile</c:v>
                </c:pt>
                <c:pt idx="21">
                  <c:v>Plymouth</c:v>
                </c:pt>
                <c:pt idx="22">
                  <c:v>Pontiac</c:v>
                </c:pt>
                <c:pt idx="23">
                  <c:v>Porsche</c:v>
                </c:pt>
                <c:pt idx="24">
                  <c:v>Saab</c:v>
                </c:pt>
                <c:pt idx="25">
                  <c:v>Saturn</c:v>
                </c:pt>
                <c:pt idx="26">
                  <c:v>Subaru</c:v>
                </c:pt>
                <c:pt idx="27">
                  <c:v>Toyota</c:v>
                </c:pt>
                <c:pt idx="28">
                  <c:v>Volkswagen</c:v>
                </c:pt>
                <c:pt idx="29">
                  <c:v>Volvo</c:v>
                </c:pt>
              </c:strCache>
            </c:strRef>
          </c:cat>
          <c:val>
            <c:numRef>
              <c:f>'Line Chart'!$B$4:$B$34</c:f>
              <c:numCache>
                <c:formatCode>0%</c:formatCode>
                <c:ptCount val="30"/>
                <c:pt idx="0">
                  <c:v>0.72283075715273559</c:v>
                </c:pt>
                <c:pt idx="1">
                  <c:v>0.75017496343463141</c:v>
                </c:pt>
                <c:pt idx="2">
                  <c:v>0.89831326065008865</c:v>
                </c:pt>
                <c:pt idx="3">
                  <c:v>0.55537813446542739</c:v>
                </c:pt>
                <c:pt idx="4">
                  <c:v>0.61722828360562432</c:v>
                </c:pt>
                <c:pt idx="5">
                  <c:v>0.61398662152068761</c:v>
                </c:pt>
                <c:pt idx="6">
                  <c:v>0.63808410014071748</c:v>
                </c:pt>
                <c:pt idx="7">
                  <c:v>0.6796460302270696</c:v>
                </c:pt>
                <c:pt idx="8">
                  <c:v>0.60292248413258964</c:v>
                </c:pt>
                <c:pt idx="9">
                  <c:v>0.77905831386241053</c:v>
                </c:pt>
                <c:pt idx="10">
                  <c:v>0.62047246570387882</c:v>
                </c:pt>
                <c:pt idx="11">
                  <c:v>0.66825046665535381</c:v>
                </c:pt>
                <c:pt idx="12">
                  <c:v>0.77614485981308412</c:v>
                </c:pt>
                <c:pt idx="13">
                  <c:v>0.75613636328610434</c:v>
                </c:pt>
                <c:pt idx="14">
                  <c:v>0.81091600903068206</c:v>
                </c:pt>
                <c:pt idx="15">
                  <c:v>0.50444839109240924</c:v>
                </c:pt>
                <c:pt idx="16">
                  <c:v>0.76365249235079324</c:v>
                </c:pt>
                <c:pt idx="17">
                  <c:v>0.66961809678652795</c:v>
                </c:pt>
                <c:pt idx="18">
                  <c:v>0.63638127454547899</c:v>
                </c:pt>
                <c:pt idx="19">
                  <c:v>0.58818618467041606</c:v>
                </c:pt>
                <c:pt idx="20">
                  <c:v>0.62260326868233029</c:v>
                </c:pt>
                <c:pt idx="21">
                  <c:v>0.64207103101350915</c:v>
                </c:pt>
                <c:pt idx="22">
                  <c:v>0.6035529991311378</c:v>
                </c:pt>
                <c:pt idx="23">
                  <c:v>0.91677172640888882</c:v>
                </c:pt>
                <c:pt idx="24">
                  <c:v>0.6937494794269532</c:v>
                </c:pt>
                <c:pt idx="25">
                  <c:v>0.76957152312403621</c:v>
                </c:pt>
                <c:pt idx="26">
                  <c:v>0.73851166641203791</c:v>
                </c:pt>
                <c:pt idx="27">
                  <c:v>0.79241849164217204</c:v>
                </c:pt>
                <c:pt idx="28">
                  <c:v>0.78629912727522022</c:v>
                </c:pt>
                <c:pt idx="29">
                  <c:v>0.68527031080258538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7-4D4F-9581-160D0ABBB4E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6424319"/>
        <c:axId val="1574767727"/>
      </c:lineChart>
      <c:catAx>
        <c:axId val="182642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767727"/>
        <c:crosses val="autoZero"/>
        <c:auto val="1"/>
        <c:lblAlgn val="ctr"/>
        <c:lblOffset val="100"/>
        <c:noMultiLvlLbl val="0"/>
      </c:catAx>
      <c:valAx>
        <c:axId val="157476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42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Ford car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717869641294838"/>
          <c:y val="0.22726851851851851"/>
          <c:w val="0.86377077865266838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'Line Chart'!$F$1</c:f>
              <c:strCache>
                <c:ptCount val="1"/>
                <c:pt idx="0">
                  <c:v>Model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'Line Chart'!$F$2:$F$43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42-4E3B-B1D0-AD2B007BAEDD}"/>
            </c:ext>
          </c:extLst>
        </c:ser>
        <c:ser>
          <c:idx val="1"/>
          <c:order val="1"/>
          <c:tx>
            <c:strRef>
              <c:f>'Line Chart'!$G$1</c:f>
              <c:strCache>
                <c:ptCount val="1"/>
                <c:pt idx="0">
                  <c:v>Price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'Line Chart'!$G$2:$G$43</c:f>
              <c:numCache>
                <c:formatCode>[$$-409]#,##0</c:formatCode>
                <c:ptCount val="42"/>
                <c:pt idx="0">
                  <c:v>21500</c:v>
                </c:pt>
                <c:pt idx="1">
                  <c:v>28400</c:v>
                </c:pt>
                <c:pt idx="2">
                  <c:v>42000</c:v>
                </c:pt>
                <c:pt idx="3">
                  <c:v>23990</c:v>
                </c:pt>
                <c:pt idx="4">
                  <c:v>33950</c:v>
                </c:pt>
                <c:pt idx="5">
                  <c:v>62000</c:v>
                </c:pt>
                <c:pt idx="6">
                  <c:v>26990</c:v>
                </c:pt>
                <c:pt idx="7">
                  <c:v>33400</c:v>
                </c:pt>
                <c:pt idx="8">
                  <c:v>38900</c:v>
                </c:pt>
                <c:pt idx="9">
                  <c:v>21975</c:v>
                </c:pt>
                <c:pt idx="10">
                  <c:v>25300</c:v>
                </c:pt>
                <c:pt idx="11">
                  <c:v>31965</c:v>
                </c:pt>
                <c:pt idx="12">
                  <c:v>27885</c:v>
                </c:pt>
                <c:pt idx="13">
                  <c:v>39895</c:v>
                </c:pt>
                <c:pt idx="14">
                  <c:v>44475</c:v>
                </c:pt>
                <c:pt idx="15">
                  <c:v>39665</c:v>
                </c:pt>
                <c:pt idx="16">
                  <c:v>31010</c:v>
                </c:pt>
                <c:pt idx="17">
                  <c:v>46225</c:v>
                </c:pt>
                <c:pt idx="18">
                  <c:v>13260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42-4E3B-B1D0-AD2B007BA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1160223"/>
        <c:axId val="1468964703"/>
      </c:lineChart>
      <c:catAx>
        <c:axId val="16311602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964703"/>
        <c:crosses val="autoZero"/>
        <c:auto val="1"/>
        <c:lblAlgn val="ctr"/>
        <c:lblOffset val="100"/>
        <c:noMultiLvlLbl val="0"/>
      </c:catAx>
      <c:valAx>
        <c:axId val="14689647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16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'Bar Chart'!$F$1</c:f>
              <c:strCache>
                <c:ptCount val="1"/>
                <c:pt idx="0">
                  <c:v>Model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'Bar Chart'!$F$2:$F$37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F-4F81-BE8C-BF0B10985F75}"/>
            </c:ext>
          </c:extLst>
        </c:ser>
        <c:ser>
          <c:idx val="1"/>
          <c:order val="1"/>
          <c:tx>
            <c:strRef>
              <c:f>'Bar Chart'!$G$1</c:f>
              <c:strCache>
                <c:ptCount val="1"/>
                <c:pt idx="0">
                  <c:v>Retention 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'Bar Chart'!$G$2:$G$37</c:f>
              <c:numCache>
                <c:formatCode>0%</c:formatCode>
                <c:ptCount val="36"/>
                <c:pt idx="0">
                  <c:v>0.76093023255813952</c:v>
                </c:pt>
                <c:pt idx="1">
                  <c:v>0.69982394366197187</c:v>
                </c:pt>
                <c:pt idx="2">
                  <c:v>0.70773809523809528</c:v>
                </c:pt>
                <c:pt idx="3">
                  <c:v>0.92767819924968742</c:v>
                </c:pt>
                <c:pt idx="4">
                  <c:v>0.6938144329896907</c:v>
                </c:pt>
                <c:pt idx="5">
                  <c:v>0.62903225806451613</c:v>
                </c:pt>
                <c:pt idx="6">
                  <c:v>0.9077436087439793</c:v>
                </c:pt>
                <c:pt idx="7">
                  <c:v>0.85853293413173648</c:v>
                </c:pt>
                <c:pt idx="8">
                  <c:v>0.92866323907455017</c:v>
                </c:pt>
                <c:pt idx="9">
                  <c:v>0.56769055745164965</c:v>
                </c:pt>
                <c:pt idx="10">
                  <c:v>0.54308300395256914</c:v>
                </c:pt>
                <c:pt idx="11">
                  <c:v>0.63162834350070385</c:v>
                </c:pt>
                <c:pt idx="12">
                  <c:v>0.4791106329567868</c:v>
                </c:pt>
                <c:pt idx="13">
                  <c:v>0.56460709362075445</c:v>
                </c:pt>
                <c:pt idx="14">
                  <c:v>0.60933108487914556</c:v>
                </c:pt>
                <c:pt idx="15">
                  <c:v>0.6485566620446237</c:v>
                </c:pt>
                <c:pt idx="16">
                  <c:v>0.58771364076104482</c:v>
                </c:pt>
                <c:pt idx="17">
                  <c:v>0.67593293672255272</c:v>
                </c:pt>
                <c:pt idx="18">
                  <c:v>0.69758672699849167</c:v>
                </c:pt>
                <c:pt idx="19">
                  <c:v>0.67886301784094349</c:v>
                </c:pt>
                <c:pt idx="20">
                  <c:v>0.54579142403388037</c:v>
                </c:pt>
                <c:pt idx="21">
                  <c:v>0.59437854564208359</c:v>
                </c:pt>
                <c:pt idx="22">
                  <c:v>0.53512736236647496</c:v>
                </c:pt>
                <c:pt idx="23">
                  <c:v>0.65030069114083111</c:v>
                </c:pt>
                <c:pt idx="24">
                  <c:v>0.65365329512893988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F-4F81-BE8C-BF0B10985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1164399"/>
        <c:axId val="1474737919"/>
      </c:barChart>
      <c:catAx>
        <c:axId val="1631164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37919"/>
        <c:crosses val="autoZero"/>
        <c:auto val="1"/>
        <c:lblAlgn val="ctr"/>
        <c:lblOffset val="100"/>
        <c:noMultiLvlLbl val="0"/>
      </c:catAx>
      <c:valAx>
        <c:axId val="147473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16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3434253816864442"/>
          <c:y val="2.52047939121094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Treemaps!$F$1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Treemaps!$E$2:$E$10</c:f>
              <c:numCache>
                <c:formatCode>[$$-409]#,##0</c:formatCode>
                <c:ptCount val="9"/>
                <c:pt idx="0">
                  <c:v>21500</c:v>
                </c:pt>
                <c:pt idx="1">
                  <c:v>28400</c:v>
                </c:pt>
                <c:pt idx="2">
                  <c:v>42000</c:v>
                </c:pt>
                <c:pt idx="3">
                  <c:v>23990</c:v>
                </c:pt>
                <c:pt idx="4">
                  <c:v>33950</c:v>
                </c:pt>
                <c:pt idx="5">
                  <c:v>62000</c:v>
                </c:pt>
                <c:pt idx="6">
                  <c:v>26990</c:v>
                </c:pt>
                <c:pt idx="7">
                  <c:v>33400</c:v>
                </c:pt>
                <c:pt idx="8">
                  <c:v>38900</c:v>
                </c:pt>
              </c:numCache>
            </c:numRef>
          </c:xVal>
          <c:yVal>
            <c:numRef>
              <c:f>Treemaps!$F$2:$F$10</c:f>
              <c:numCache>
                <c:formatCode>[$$-409]#,##0</c:formatCode>
                <c:ptCount val="9"/>
                <c:pt idx="0">
                  <c:v>16360</c:v>
                </c:pt>
                <c:pt idx="1">
                  <c:v>19875</c:v>
                </c:pt>
                <c:pt idx="2">
                  <c:v>29725</c:v>
                </c:pt>
                <c:pt idx="3">
                  <c:v>22255</c:v>
                </c:pt>
                <c:pt idx="4">
                  <c:v>23555</c:v>
                </c:pt>
                <c:pt idx="5">
                  <c:v>39000</c:v>
                </c:pt>
                <c:pt idx="6">
                  <c:v>24500</c:v>
                </c:pt>
                <c:pt idx="7">
                  <c:v>28675</c:v>
                </c:pt>
                <c:pt idx="8">
                  <c:v>36125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36-4845-A737-4D61EC61A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500848"/>
        <c:axId val="1830718848"/>
      </c:scatterChart>
      <c:valAx>
        <c:axId val="191850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resale value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718848"/>
        <c:crosses val="autoZero"/>
        <c:crossBetween val="midCat"/>
      </c:valAx>
      <c:valAx>
        <c:axId val="183071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500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F6507DB6-24A6-4BF0-BE41-5D119AE0A34C}">
          <cx:tx>
            <cx:txData>
              <cx:f>_xlchart.v1.1</cx:f>
              <cx:v>Unit 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40FE405F-EB5C-4182-97FB-C600C589200D}">
          <cx:tx>
            <cx:txData>
              <cx:f>_xlchart.v1.4</cx:f>
              <cx:v>Price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>
              <cx:binSize val="5000"/>
            </cx:binning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/>
    <cx:plotArea>
      <cx:plotAreaRegion>
        <cx:series layoutId="clusteredColumn" uniqueId="{40FE405F-EB5C-4182-97FB-C600C589200D}">
          <cx:tx>
            <cx:txData>
              <cx:f>_xlchart.v1.7</cx:f>
              <cx:v>Price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>
              <cx:binSize val="50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>
      <cx:tx>
        <cx:txData>
          <cx:v>Chart Title</cx:v>
        </cx:txData>
      </cx:tx>
    </cx:title>
    <cx:plotArea>
      <cx:plotAreaRegion>
        <cx:series layoutId="treemap" uniqueId="{F6507DB6-24A6-4BF0-BE41-5D119AE0A34C}">
          <cx:tx>
            <cx:txData>
              <cx:f>_xlchart.v1.10</cx:f>
              <cx:v>Unit 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5.xml"/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7" Type="http://schemas.openxmlformats.org/officeDocument/2006/relationships/chart" Target="../charts/chart10.xml"/><Relationship Id="rId2" Type="http://schemas.microsoft.com/office/2014/relationships/chartEx" Target="../charts/chartEx3.xml"/><Relationship Id="rId1" Type="http://schemas.openxmlformats.org/officeDocument/2006/relationships/chart" Target="../charts/chart6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161925</xdr:colOff>
      <xdr:row>1</xdr:row>
      <xdr:rowOff>133350</xdr:rowOff>
    </xdr:from>
    <xdr:to>
      <xdr:col>17</xdr:col>
      <xdr:colOff>285750</xdr:colOff>
      <xdr:row>13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4B712B-7400-D7AB-6700-2C0AEDB2C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200026</xdr:colOff>
      <xdr:row>2</xdr:row>
      <xdr:rowOff>142875</xdr:rowOff>
    </xdr:from>
    <xdr:to>
      <xdr:col>4</xdr:col>
      <xdr:colOff>1200150</xdr:colOff>
      <xdr:row>16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F537E4-83C4-7C1C-7D4C-BFE201D34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1</xdr:row>
      <xdr:rowOff>114301</xdr:rowOff>
    </xdr:from>
    <xdr:to>
      <xdr:col>17</xdr:col>
      <xdr:colOff>409575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CF555-9BB1-C318-9340-6AC83AE79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2</xdr:row>
      <xdr:rowOff>9525</xdr:rowOff>
    </xdr:from>
    <xdr:to>
      <xdr:col>19</xdr:col>
      <xdr:colOff>57150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18E50-90AF-B64F-F63E-23128CFC8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11</xdr:row>
      <xdr:rowOff>9524</xdr:rowOff>
    </xdr:from>
    <xdr:to>
      <xdr:col>4</xdr:col>
      <xdr:colOff>1076325</xdr:colOff>
      <xdr:row>24</xdr:row>
      <xdr:rowOff>100011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DACD9EF-BCBD-C630-427E-D6077665EE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2114549"/>
              <a:ext cx="3800475" cy="25669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9525</xdr:colOff>
      <xdr:row>11</xdr:row>
      <xdr:rowOff>9525</xdr:rowOff>
    </xdr:from>
    <xdr:to>
      <xdr:col>10</xdr:col>
      <xdr:colOff>104775</xdr:colOff>
      <xdr:row>24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19F565-3D06-5EB0-466D-0EABA2D55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295274</xdr:colOff>
      <xdr:row>4</xdr:row>
      <xdr:rowOff>171449</xdr:rowOff>
    </xdr:from>
    <xdr:to>
      <xdr:col>16</xdr:col>
      <xdr:colOff>514349</xdr:colOff>
      <xdr:row>18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B7B18EA9-A8E1-55A2-907B-1BE0004ED0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7699" y="942974"/>
              <a:ext cx="3876675" cy="25527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415797</xdr:colOff>
      <xdr:row>3</xdr:row>
      <xdr:rowOff>17318</xdr:rowOff>
    </xdr:from>
    <xdr:to>
      <xdr:col>25</xdr:col>
      <xdr:colOff>417785</xdr:colOff>
      <xdr:row>32</xdr:row>
      <xdr:rowOff>69272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44791A68-1EDE-992D-6CF5-A129ECCAFFD4}"/>
            </a:ext>
          </a:extLst>
        </xdr:cNvPr>
        <xdr:cNvGrpSpPr/>
      </xdr:nvGrpSpPr>
      <xdr:grpSpPr>
        <a:xfrm>
          <a:off x="415797" y="588818"/>
          <a:ext cx="15241988" cy="5576454"/>
          <a:chOff x="138707" y="536864"/>
          <a:chExt cx="15155397" cy="5576454"/>
        </a:xfrm>
        <a:solidFill>
          <a:schemeClr val="tx1"/>
        </a:solidFill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4381FE5E-C45E-4BC2-BF3A-52677E13FD4A}"/>
              </a:ext>
            </a:extLst>
          </xdr:cNvPr>
          <xdr:cNvGraphicFramePr>
            <a:graphicFrameLocks/>
          </xdr:cNvGraphicFramePr>
        </xdr:nvGraphicFramePr>
        <xdr:xfrm>
          <a:off x="155863" y="548812"/>
          <a:ext cx="5455996" cy="270094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6CBEA180-FEC3-905A-41FD-DC562B679EE6}"/>
              </a:ext>
            </a:extLst>
          </xdr:cNvPr>
          <xdr:cNvGrpSpPr/>
        </xdr:nvGrpSpPr>
        <xdr:grpSpPr>
          <a:xfrm>
            <a:off x="138707" y="536864"/>
            <a:ext cx="15155397" cy="5576454"/>
            <a:chOff x="156025" y="554182"/>
            <a:chExt cx="15155397" cy="5576454"/>
          </a:xfrm>
          <a:grpFill/>
        </xdr:grpSpPr>
        <mc:AlternateContent xmlns:mc="http://schemas.openxmlformats.org/markup-compatibility/2006">
          <mc:Choice xmlns:cx1="http://schemas.microsoft.com/office/drawing/2015/9/8/chartex" Requires="cx1">
            <xdr:graphicFrame macro="">
              <xdr:nvGraphicFramePr>
                <xdr:cNvPr id="8" name="Chart 7">
                  <a:extLst>
                    <a:ext uri="{FF2B5EF4-FFF2-40B4-BE49-F238E27FC236}">
                      <a16:creationId xmlns:a16="http://schemas.microsoft.com/office/drawing/2014/main" id="{6CFCDD55-4DAC-493B-8D0B-704E7ED0DF76}"/>
                    </a:ext>
                  </a:extLst>
                </xdr:cNvPr>
                <xdr:cNvGraphicFramePr/>
              </xdr:nvGraphicFramePr>
              <xdr:xfrm>
                <a:off x="3353650" y="3359727"/>
                <a:ext cx="4035137" cy="2737355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2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3353650" y="3359727"/>
                  <a:ext cx="4035137" cy="2737355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n-IN" sz="1100"/>
                    <a:t>This chart isn't available in your version of Excel.
Editing this shape or saving this workbook into a different file format will permanently break the chart.</a:t>
                  </a:r>
                </a:p>
              </xdr:txBody>
            </xdr:sp>
          </mc:Fallback>
        </mc:AlternateContent>
        <mc:AlternateContent xmlns:mc="http://schemas.openxmlformats.org/markup-compatibility/2006">
          <mc:Choice xmlns:cx1="http://schemas.microsoft.com/office/drawing/2015/9/8/chartex" Requires="cx1">
            <xdr:graphicFrame macro="">
              <xdr:nvGraphicFramePr>
                <xdr:cNvPr id="6" name="Chart 5">
                  <a:extLst>
                    <a:ext uri="{FF2B5EF4-FFF2-40B4-BE49-F238E27FC236}">
                      <a16:creationId xmlns:a16="http://schemas.microsoft.com/office/drawing/2014/main" id="{D12DDBCF-8059-4438-A167-480F1C031954}"/>
                    </a:ext>
                  </a:extLst>
                </xdr:cNvPr>
                <xdr:cNvGraphicFramePr/>
              </xdr:nvGraphicFramePr>
              <xdr:xfrm>
                <a:off x="156025" y="3301711"/>
                <a:ext cx="3180307" cy="2828925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3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56025" y="3301711"/>
                  <a:ext cx="3180307" cy="2828925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en-IN" sz="1100"/>
                    <a:t>This chart isn't available in your version of Excel.
Editing this shape or saving this workbook into a different file format will permanently break the chart.</a:t>
                  </a:r>
                </a:p>
              </xdr:txBody>
            </xdr:sp>
          </mc:Fallback>
        </mc:AlternateContent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23DA322-1F45-4FA8-9018-505AB58B3F79}"/>
                </a:ext>
              </a:extLst>
            </xdr:cNvPr>
            <xdr:cNvGraphicFramePr>
              <a:graphicFrameLocks/>
            </xdr:cNvGraphicFramePr>
          </xdr:nvGraphicFramePr>
          <xdr:xfrm>
            <a:off x="11569229" y="3316282"/>
            <a:ext cx="3742193" cy="280482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C94AE7F-6597-4E0C-A16D-6F47958C45BF}"/>
                </a:ext>
              </a:extLst>
            </xdr:cNvPr>
            <xdr:cNvGraphicFramePr>
              <a:graphicFrameLocks/>
            </xdr:cNvGraphicFramePr>
          </xdr:nvGraphicFramePr>
          <xdr:xfrm>
            <a:off x="5691605" y="594987"/>
            <a:ext cx="5056909" cy="27339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E62E21A-AED3-4278-BB09-7CA91C124979}"/>
                </a:ext>
              </a:extLst>
            </xdr:cNvPr>
            <xdr:cNvGraphicFramePr>
              <a:graphicFrameLocks/>
            </xdr:cNvGraphicFramePr>
          </xdr:nvGraphicFramePr>
          <xdr:xfrm>
            <a:off x="10817789" y="554182"/>
            <a:ext cx="4474166" cy="273194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4D31FA4-3A6F-41BA-9485-8637932F7681}"/>
                </a:ext>
              </a:extLst>
            </xdr:cNvPr>
            <xdr:cNvGraphicFramePr>
              <a:graphicFrameLocks/>
            </xdr:cNvGraphicFramePr>
          </xdr:nvGraphicFramePr>
          <xdr:xfrm>
            <a:off x="7441364" y="3335252"/>
            <a:ext cx="4053480" cy="279538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</xdr:grpSp>
    <xdr:clientData/>
  </xdr:twoCellAnchor>
  <xdr:twoCellAnchor>
    <xdr:from>
      <xdr:col>4</xdr:col>
      <xdr:colOff>104775</xdr:colOff>
      <xdr:row>0</xdr:row>
      <xdr:rowOff>76200</xdr:rowOff>
    </xdr:from>
    <xdr:to>
      <xdr:col>20</xdr:col>
      <xdr:colOff>257174</xdr:colOff>
      <xdr:row>2</xdr:row>
      <xdr:rowOff>104775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E034865-9DDB-4685-970C-E008FAB2E67E}"/>
            </a:ext>
          </a:extLst>
        </xdr:cNvPr>
        <xdr:cNvSpPr/>
      </xdr:nvSpPr>
      <xdr:spPr>
        <a:xfrm>
          <a:off x="2543175" y="76200"/>
          <a:ext cx="9905999" cy="409575"/>
        </a:xfrm>
        <a:prstGeom prst="rect">
          <a:avLst/>
        </a:prstGeom>
        <a:solidFill>
          <a:schemeClr val="tx1">
            <a:alpha val="75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>
              <a:latin typeface="Constantia" panose="02030602050306030303" pitchFamily="18" charset="0"/>
            </a:rPr>
            <a:t>Sales Performance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993.990949652776" createdVersion="6" refreshedVersion="8" minRefreshableVersion="3" recordCount="155" xr:uid="{83312433-19CD-482C-8AD5-DC33EF26DB9D}">
  <cacheSource type="worksheet">
    <worksheetSource name="Table1"/>
  </cacheSource>
  <cacheFields count="20"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Unit Sales" numFmtId="1">
      <sharedItems containsSemiMixedTypes="0" containsString="0" containsNumber="1" minValue="110" maxValue="540561"/>
    </cacheField>
    <cacheField name="Price" numFmtId="165">
      <sharedItems containsSemiMixedTypes="0" containsString="0" containsNumber="1" minValue="9235" maxValue="85500"/>
    </cacheField>
    <cacheField name="Year Resale Value" numFmtId="165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/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Vehicle_type" numFmtId="0">
      <sharedItems/>
    </cacheField>
    <cacheField name="Fuel Efficiency" numFmtId="0">
      <sharedItems containsSemiMixedTypes="0" containsString="0" containsNumber="1" containsInteger="1" minValue="15" maxValue="45"/>
    </cacheField>
    <cacheField name="Power Perf Factor" numFmtId="0">
      <sharedItems containsSemiMixedTypes="0" containsString="0" containsNumber="1" minValue="23.276272330000001" maxValue="188.14432300000001"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Latest Launch" numFmtId="14">
      <sharedItems containsSemiMixedTypes="0" containsNonDate="0" containsDate="1" containsString="0" minDate="2008-02-13T00:00:00" maxDate="2012-12-30T00:00:00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n v="16919"/>
    <n v="21500"/>
    <n v="16360"/>
    <n v="0.76093023255813952"/>
    <s v="GOOD"/>
    <n v="1.8"/>
    <n v="140"/>
    <s v="Medium HP"/>
    <s v="Passenger"/>
    <n v="28"/>
    <n v="58.280149520000002"/>
    <n v="101.2"/>
    <n v="67.3"/>
    <n v="172.4"/>
    <n v="2.6389999999999998"/>
    <n v="13.2"/>
    <d v="2012-02-02T00:00:00"/>
  </r>
  <r>
    <x v="0"/>
    <x v="1"/>
    <n v="39384"/>
    <n v="28400"/>
    <n v="19875"/>
    <n v="0.69982394366197187"/>
    <s v="GOOD"/>
    <n v="3.2"/>
    <n v="225"/>
    <s v="Medium HP"/>
    <s v="Passenger"/>
    <n v="25"/>
    <n v="91.370777660000002"/>
    <n v="108.1"/>
    <n v="70.3"/>
    <n v="192.9"/>
    <n v="3.5169999999999999"/>
    <n v="17.2"/>
    <d v="2011-06-03T00:00:00"/>
  </r>
  <r>
    <x v="0"/>
    <x v="2"/>
    <n v="8588"/>
    <n v="42000"/>
    <n v="29725"/>
    <n v="0.70773809523809528"/>
    <s v="GOOD"/>
    <n v="3.5"/>
    <n v="210"/>
    <s v="Medium HP"/>
    <s v="Passenger"/>
    <n v="22"/>
    <n v="91.389779329999996"/>
    <n v="114.6"/>
    <n v="71.400000000000006"/>
    <n v="196.6"/>
    <n v="3.85"/>
    <n v="18"/>
    <d v="2011-03-10T00:00:00"/>
  </r>
  <r>
    <x v="1"/>
    <x v="3"/>
    <n v="20397"/>
    <n v="23990"/>
    <n v="22255"/>
    <n v="0.92767819924968742"/>
    <s v="GOOD"/>
    <n v="1.8"/>
    <n v="150"/>
    <s v="Medium HP"/>
    <s v="Passenger"/>
    <n v="27"/>
    <n v="62.777639200000003"/>
    <n v="102.6"/>
    <n v="68.2"/>
    <n v="178"/>
    <n v="2.9980000000000002"/>
    <n v="16.399999999999999"/>
    <d v="2011-10-08T00:00:00"/>
  </r>
  <r>
    <x v="1"/>
    <x v="4"/>
    <n v="18780"/>
    <n v="33950"/>
    <n v="23555"/>
    <n v="0.6938144329896907"/>
    <s v="GOOD"/>
    <n v="2.8"/>
    <n v="200"/>
    <s v="Medium HP"/>
    <s v="Passenger"/>
    <n v="22"/>
    <n v="84.565105020000004"/>
    <n v="108.7"/>
    <n v="76.099999999999994"/>
    <n v="192"/>
    <n v="3.5609999999999999"/>
    <n v="18.5"/>
    <d v="2011-08-09T00:00:00"/>
  </r>
  <r>
    <x v="1"/>
    <x v="5"/>
    <n v="1380"/>
    <n v="62000"/>
    <n v="39000"/>
    <n v="0.62903225806451613"/>
    <s v="POOR"/>
    <n v="4.2"/>
    <n v="310"/>
    <s v="High HP"/>
    <s v="Passenger"/>
    <n v="21"/>
    <n v="134.65685819999999"/>
    <n v="113"/>
    <n v="74"/>
    <n v="198.2"/>
    <n v="3.9020000000000001"/>
    <n v="23.7"/>
    <d v="2012-02-27T00:00:00"/>
  </r>
  <r>
    <x v="2"/>
    <x v="6"/>
    <n v="19747"/>
    <n v="26990"/>
    <n v="24500"/>
    <n v="0.9077436087439793"/>
    <s v="GOOD"/>
    <n v="2.5"/>
    <n v="170"/>
    <s v="Medium HP"/>
    <s v="Passenger"/>
    <n v="26"/>
    <n v="71.191206710000003"/>
    <n v="107.3"/>
    <n v="68.400000000000006"/>
    <n v="176"/>
    <n v="3.1789999999999998"/>
    <n v="16.600000000000001"/>
    <d v="2011-06-28T00:00:00"/>
  </r>
  <r>
    <x v="2"/>
    <x v="7"/>
    <n v="9231"/>
    <n v="33400"/>
    <n v="28675"/>
    <n v="0.85853293413173648"/>
    <s v="GOOD"/>
    <n v="2.8"/>
    <n v="193"/>
    <s v="Medium HP"/>
    <s v="Passenger"/>
    <n v="24"/>
    <n v="81.877068559999998"/>
    <n v="107.3"/>
    <n v="68.5"/>
    <n v="176"/>
    <n v="3.1970000000000001"/>
    <n v="16.600000000000001"/>
    <d v="2012-01-29T00:00:00"/>
  </r>
  <r>
    <x v="2"/>
    <x v="8"/>
    <n v="17527"/>
    <n v="38900"/>
    <n v="36125"/>
    <n v="0.92866323907455017"/>
    <s v="GOOD"/>
    <n v="2.8"/>
    <n v="193"/>
    <s v="Medium HP"/>
    <s v="Passenger"/>
    <n v="25"/>
    <n v="83.998723799999993"/>
    <n v="111.4"/>
    <n v="70.900000000000006"/>
    <n v="188"/>
    <n v="3.472"/>
    <n v="18.5"/>
    <d v="2011-04-04T00:00:00"/>
  </r>
  <r>
    <x v="3"/>
    <x v="9"/>
    <n v="91561"/>
    <n v="21975"/>
    <n v="12475"/>
    <n v="0.56769055745164965"/>
    <s v="POOR"/>
    <n v="3.1"/>
    <n v="175"/>
    <s v="Medium HP"/>
    <s v="Passenger"/>
    <n v="25"/>
    <n v="71.181451319999994"/>
    <n v="109"/>
    <n v="72.7"/>
    <n v="194.6"/>
    <n v="3.3679999999999999"/>
    <n v="17.5"/>
    <d v="2011-11-02T00:00:00"/>
  </r>
  <r>
    <x v="3"/>
    <x v="10"/>
    <n v="39350"/>
    <n v="25300"/>
    <n v="13740"/>
    <n v="0.54308300395256914"/>
    <s v="POOR"/>
    <n v="3.8"/>
    <n v="240"/>
    <s v="Medium HP"/>
    <s v="Passenger"/>
    <n v="23"/>
    <n v="95.636702529999994"/>
    <n v="109"/>
    <n v="72.7"/>
    <n v="196.2"/>
    <n v="3.5430000000000001"/>
    <n v="17.5"/>
    <d v="2011-09-03T00:00:00"/>
  </r>
  <r>
    <x v="3"/>
    <x v="11"/>
    <n v="27851"/>
    <n v="31965"/>
    <n v="20190"/>
    <n v="0.63162834350070385"/>
    <s v="POOR"/>
    <n v="3.8"/>
    <n v="205"/>
    <s v="Medium HP"/>
    <s v="Passenger"/>
    <n v="24"/>
    <n v="85.828408249999995"/>
    <n v="113.8"/>
    <n v="74.7"/>
    <n v="206.8"/>
    <n v="3.778"/>
    <n v="18.5"/>
    <d v="2012-03-23T00:00:00"/>
  </r>
  <r>
    <x v="3"/>
    <x v="12"/>
    <n v="83257"/>
    <n v="27885"/>
    <n v="13360"/>
    <n v="0.4791106329567868"/>
    <s v="POOR"/>
    <n v="3.8"/>
    <n v="205"/>
    <s v="Medium HP"/>
    <s v="Passenger"/>
    <n v="25"/>
    <n v="84.254525810000004"/>
    <n v="112.2"/>
    <n v="73.5"/>
    <n v="200"/>
    <n v="3.5910000000000002"/>
    <n v="17.5"/>
    <d v="2011-07-23T00:00:00"/>
  </r>
  <r>
    <x v="4"/>
    <x v="13"/>
    <n v="63729"/>
    <n v="39895"/>
    <n v="22525"/>
    <n v="0.56460709362075445"/>
    <s v="POOR"/>
    <n v="4.5999999999999996"/>
    <n v="275"/>
    <s v="Medium HP"/>
    <s v="Passenger"/>
    <n v="22"/>
    <n v="113.85459760000001"/>
    <n v="115.3"/>
    <n v="74.5"/>
    <n v="207.2"/>
    <n v="3.9780000000000002"/>
    <n v="18.5"/>
    <d v="2012-02-23T00:00:00"/>
  </r>
  <r>
    <x v="4"/>
    <x v="14"/>
    <n v="15943"/>
    <n v="44475"/>
    <n v="27100"/>
    <n v="0.60933108487914556"/>
    <s v="POOR"/>
    <n v="4.5999999999999996"/>
    <n v="275"/>
    <s v="Medium HP"/>
    <s v="Passenger"/>
    <n v="22"/>
    <n v="115.6213578"/>
    <n v="112.2"/>
    <n v="75"/>
    <n v="201"/>
    <n v="3.875"/>
    <n v="18.5"/>
    <d v="2011-04-29T00:00:00"/>
  </r>
  <r>
    <x v="4"/>
    <x v="15"/>
    <n v="6536"/>
    <n v="39665"/>
    <n v="25725"/>
    <n v="0.6485566620446237"/>
    <s v="POOR"/>
    <n v="4.5999999999999996"/>
    <n v="275"/>
    <s v="Medium HP"/>
    <s v="Passenger"/>
    <n v="22"/>
    <n v="113.7658739"/>
    <n v="108"/>
    <n v="75.5"/>
    <n v="200.6"/>
    <n v="3.843"/>
    <n v="19"/>
    <d v="2011-11-27T00:00:00"/>
  </r>
  <r>
    <x v="4"/>
    <x v="16"/>
    <n v="11185"/>
    <n v="31010"/>
    <n v="18225"/>
    <n v="0.58771364076104482"/>
    <s v="POOR"/>
    <n v="3"/>
    <n v="200"/>
    <s v="Medium HP"/>
    <s v="Passenger"/>
    <n v="22"/>
    <n v="83.483093580000002"/>
    <n v="107.4"/>
    <n v="70.3"/>
    <n v="194.8"/>
    <n v="3.77"/>
    <n v="18"/>
    <d v="2011-09-28T00:00:00"/>
  </r>
  <r>
    <x v="4"/>
    <x v="17"/>
    <n v="14785"/>
    <n v="46225"/>
    <n v="31245"/>
    <n v="0.67593293672255272"/>
    <s v="POOR"/>
    <n v="5.7"/>
    <n v="255"/>
    <s v="Medium HP"/>
    <s v="Car"/>
    <n v="15"/>
    <n v="109.5091165"/>
    <n v="117.5"/>
    <n v="77"/>
    <n v="201.2"/>
    <n v="5.5720000000000001"/>
    <n v="30"/>
    <d v="2012-04-17T00:00:00"/>
  </r>
  <r>
    <x v="5"/>
    <x v="18"/>
    <n v="145519"/>
    <n v="13260"/>
    <n v="9250"/>
    <n v="0.69758672699849167"/>
    <s v="GOOD"/>
    <n v="2.2000000000000002"/>
    <n v="115"/>
    <s v="Medium HP"/>
    <s v="Passenger"/>
    <n v="27"/>
    <n v="46.363347470000001"/>
    <n v="104.1"/>
    <n v="67.900000000000006"/>
    <n v="180.9"/>
    <n v="2.6760000000000002"/>
    <n v="14.3"/>
    <d v="2011-08-17T00:00:00"/>
  </r>
  <r>
    <x v="5"/>
    <x v="19"/>
    <n v="135126"/>
    <n v="16535"/>
    <n v="11225"/>
    <n v="0.67886301784094349"/>
    <s v="POOR"/>
    <n v="3.1"/>
    <n v="170"/>
    <s v="Medium HP"/>
    <s v="Passenger"/>
    <n v="25"/>
    <n v="67.314462160000005"/>
    <n v="107"/>
    <n v="69.400000000000006"/>
    <n v="190.4"/>
    <n v="3.0510000000000002"/>
    <n v="15"/>
    <d v="2012-03-19T00:00:00"/>
  </r>
  <r>
    <x v="5"/>
    <x v="20"/>
    <n v="24629"/>
    <n v="18890"/>
    <n v="10310"/>
    <n v="0.54579142403388037"/>
    <s v="POOR"/>
    <n v="3.1"/>
    <n v="175"/>
    <s v="Medium HP"/>
    <s v="Passenger"/>
    <n v="25"/>
    <n v="69.991395600000004"/>
    <n v="107.5"/>
    <n v="72.5"/>
    <n v="200.9"/>
    <n v="3.33"/>
    <n v="16.600000000000001"/>
    <d v="2011-05-24T00:00:00"/>
  </r>
  <r>
    <x v="5"/>
    <x v="21"/>
    <n v="42593"/>
    <n v="19390"/>
    <n v="11525"/>
    <n v="0.59437854564208359"/>
    <s v="POOR"/>
    <n v="3.4"/>
    <n v="180"/>
    <s v="Medium HP"/>
    <s v="Passenger"/>
    <n v="27"/>
    <n v="72.030917189999997"/>
    <n v="110.5"/>
    <n v="72.7"/>
    <n v="197.9"/>
    <n v="3.34"/>
    <n v="17"/>
    <d v="2011-12-22T00:00:00"/>
  </r>
  <r>
    <x v="5"/>
    <x v="22"/>
    <n v="26402"/>
    <n v="24340"/>
    <n v="13025"/>
    <n v="0.53512736236647496"/>
    <s v="POOR"/>
    <n v="3.8"/>
    <n v="200"/>
    <s v="Medium HP"/>
    <s v="Passenger"/>
    <n v="25"/>
    <n v="81.118543329999994"/>
    <n v="101.1"/>
    <n v="74.099999999999994"/>
    <n v="193.2"/>
    <n v="3.5"/>
    <n v="16.8"/>
    <d v="2011-10-23T00:00:00"/>
  </r>
  <r>
    <x v="5"/>
    <x v="23"/>
    <n v="17947"/>
    <n v="55705"/>
    <n v="36225"/>
    <n v="0.65030069114083111"/>
    <s v="POOR"/>
    <n v="5.7"/>
    <n v="345"/>
    <s v="High HP"/>
    <s v="Passenger"/>
    <n v="22"/>
    <n v="141.14115000000001"/>
    <n v="104.5"/>
    <n v="73.599999999999994"/>
    <n v="179.7"/>
    <n v="3.21"/>
    <n v="19.100000000000001"/>
    <d v="2012-05-12T00:00:00"/>
  </r>
  <r>
    <x v="5"/>
    <x v="24"/>
    <n v="32299"/>
    <n v="13960"/>
    <n v="9125"/>
    <n v="0.65365329512893988"/>
    <s v="POOR"/>
    <n v="1.8"/>
    <n v="120"/>
    <s v="Medium HP"/>
    <s v="Passenger"/>
    <n v="33"/>
    <n v="48.297636099999998"/>
    <n v="97.1"/>
    <n v="66.7"/>
    <n v="174.3"/>
    <n v="2.3980000000000001"/>
    <n v="13.2"/>
    <d v="2011-09-11T00:00:00"/>
  </r>
  <r>
    <x v="5"/>
    <x v="25"/>
    <n v="21855"/>
    <n v="9235"/>
    <n v="5160"/>
    <n v="0.55874390904168925"/>
    <s v="POOR"/>
    <n v="1"/>
    <n v="55"/>
    <s v="Low HP"/>
    <s v="Passenger"/>
    <n v="45"/>
    <n v="23.276272330000001"/>
    <n v="93.1"/>
    <n v="62.6"/>
    <n v="149.4"/>
    <n v="1.895"/>
    <n v="10.3"/>
    <d v="2012-04-13T00:00:00"/>
  </r>
  <r>
    <x v="5"/>
    <x v="26"/>
    <n v="107995"/>
    <n v="18890"/>
    <n v="11550"/>
    <n v="0.61143462149285333"/>
    <s v="POOR"/>
    <n v="3.4"/>
    <n v="180"/>
    <s v="Medium HP"/>
    <s v="Passenger"/>
    <n v="27"/>
    <n v="71.838039440000003"/>
    <n v="110.5"/>
    <n v="73"/>
    <n v="200"/>
    <n v="3.3889999999999998"/>
    <n v="17"/>
    <d v="2011-06-18T00:00:00"/>
  </r>
  <r>
    <x v="6"/>
    <x v="27"/>
    <n v="7854"/>
    <n v="19840"/>
    <n v="12360"/>
    <n v="0.62298387096774188"/>
    <s v="POOR"/>
    <n v="2.5"/>
    <n v="163"/>
    <s v="Medium HP"/>
    <s v="Passenger"/>
    <n v="24"/>
    <n v="65.957183959999995"/>
    <n v="103.7"/>
    <n v="69.7"/>
    <n v="190.9"/>
    <n v="2.9670000000000001"/>
    <n v="15.9"/>
    <d v="2012-01-16T00:00:00"/>
  </r>
  <r>
    <x v="6"/>
    <x v="28"/>
    <n v="32775"/>
    <n v="24495"/>
    <n v="14180"/>
    <n v="0.57889365176566643"/>
    <s v="POOR"/>
    <n v="2.5"/>
    <n v="168"/>
    <s v="Medium HP"/>
    <s v="Passenger"/>
    <n v="24"/>
    <n v="69.521355049999997"/>
    <n v="106"/>
    <n v="69.2"/>
    <n v="193"/>
    <n v="3.3319999999999999"/>
    <n v="16"/>
    <d v="2011-11-17T00:00:00"/>
  </r>
  <r>
    <x v="6"/>
    <x v="29"/>
    <n v="31148"/>
    <n v="22245"/>
    <n v="13725"/>
    <n v="0.61699258260283207"/>
    <s v="POOR"/>
    <n v="2.7"/>
    <n v="200"/>
    <s v="Medium HP"/>
    <s v="Passenger"/>
    <n v="26"/>
    <n v="80.02378204"/>
    <n v="113"/>
    <n v="74.400000000000006"/>
    <n v="209.1"/>
    <n v="3.452"/>
    <n v="17"/>
    <d v="2012-06-06T00:00:00"/>
  </r>
  <r>
    <x v="6"/>
    <x v="30"/>
    <n v="32305.999999999996"/>
    <n v="16480"/>
    <n v="12640"/>
    <n v="0.76699029126213591"/>
    <s v="GOOD"/>
    <n v="2"/>
    <n v="132"/>
    <s v="Medium HP"/>
    <s v="Passenger"/>
    <n v="27"/>
    <n v="53.566199869999998"/>
    <n v="108"/>
    <n v="71"/>
    <n v="186"/>
    <n v="2.911"/>
    <n v="16"/>
    <d v="2011-10-06T00:00:00"/>
  </r>
  <r>
    <x v="6"/>
    <x v="31"/>
    <n v="13462"/>
    <n v="28340"/>
    <n v="17325"/>
    <n v="0.61132674664784759"/>
    <s v="POOR"/>
    <n v="3.5"/>
    <n v="253"/>
    <s v="Medium HP"/>
    <s v="Passenger"/>
    <n v="23"/>
    <n v="101.3292807"/>
    <n v="113"/>
    <n v="74.400000000000006"/>
    <n v="207.7"/>
    <n v="3.5640000000000001"/>
    <n v="17"/>
    <d v="2012-05-08T00:00:00"/>
  </r>
  <r>
    <x v="6"/>
    <x v="32"/>
    <n v="30696"/>
    <n v="29185"/>
    <n v="18425"/>
    <n v="0.63131745759808122"/>
    <s v="POOR"/>
    <n v="3.5"/>
    <n v="253"/>
    <s v="Medium HP"/>
    <s v="Passenger"/>
    <n v="23"/>
    <n v="101.6552441"/>
    <n v="113"/>
    <n v="74.400000000000006"/>
    <n v="197.8"/>
    <n v="3.5670000000000002"/>
    <n v="17"/>
    <d v="2012-02-10T00:00:00"/>
  </r>
  <r>
    <x v="7"/>
    <x v="33"/>
    <n v="76034"/>
    <n v="12640"/>
    <n v="7750"/>
    <n v="0.61313291139240511"/>
    <s v="POOR"/>
    <n v="2"/>
    <n v="132"/>
    <s v="Medium HP"/>
    <s v="Passenger"/>
    <n v="29"/>
    <n v="52.084898750000001"/>
    <n v="105"/>
    <n v="74.400000000000006"/>
    <n v="174.4"/>
    <n v="2.5670000000000002"/>
    <n v="12.5"/>
    <d v="2011-12-12T00:00:00"/>
  </r>
  <r>
    <x v="7"/>
    <x v="34"/>
    <n v="4734"/>
    <n v="19045"/>
    <n v="12545"/>
    <n v="0.65870307167235498"/>
    <s v="POOR"/>
    <n v="2.5"/>
    <n v="163"/>
    <s v="Medium HP"/>
    <s v="Passenger"/>
    <n v="24"/>
    <n v="65.650508340000002"/>
    <n v="103.7"/>
    <n v="69.099999999999994"/>
    <n v="190.2"/>
    <n v="2.879"/>
    <n v="15.9"/>
    <d v="2012-07-01T00:00:00"/>
  </r>
  <r>
    <x v="7"/>
    <x v="35"/>
    <n v="71186"/>
    <n v="20230"/>
    <n v="10185"/>
    <n v="0.5034602076124568"/>
    <s v="POOR"/>
    <n v="2.5"/>
    <n v="168"/>
    <s v="Medium HP"/>
    <s v="Passenger"/>
    <n v="24"/>
    <n v="67.876107840000003"/>
    <n v="108"/>
    <n v="71"/>
    <n v="186"/>
    <n v="3.0579999999999998"/>
    <n v="16"/>
    <d v="2011-10-31T00:00:00"/>
  </r>
  <r>
    <x v="7"/>
    <x v="36"/>
    <n v="88028"/>
    <n v="22505"/>
    <n v="12275"/>
    <n v="0.54543434792268386"/>
    <s v="POOR"/>
    <n v="2.7"/>
    <n v="202"/>
    <s v="Medium HP"/>
    <s v="Passenger"/>
    <n v="22"/>
    <n v="80.831470170000003"/>
    <n v="113"/>
    <n v="74.7"/>
    <n v="203.7"/>
    <n v="3.4889999999999999"/>
    <n v="17"/>
    <d v="2012-06-02T00:00:00"/>
  </r>
  <r>
    <x v="7"/>
    <x v="37"/>
    <n v="916"/>
    <n v="69725"/>
    <n v="58470"/>
    <n v="0.83858013624955186"/>
    <s v="GOOD"/>
    <n v="8"/>
    <n v="450"/>
    <s v="High HP"/>
    <s v="Passenger"/>
    <n v="16"/>
    <n v="188.14432300000001"/>
    <n v="96.2"/>
    <n v="75.7"/>
    <n v="176.7"/>
    <n v="3.375"/>
    <n v="19"/>
    <d v="2011-08-07T00:00:00"/>
  </r>
  <r>
    <x v="7"/>
    <x v="38"/>
    <n v="227061"/>
    <n v="19460"/>
    <n v="15060"/>
    <n v="0.77389516957862281"/>
    <s v="GOOD"/>
    <n v="5.2"/>
    <n v="230"/>
    <s v="Medium HP"/>
    <s v="Car"/>
    <n v="17"/>
    <n v="90.211700050000005"/>
    <n v="138.69999999999999"/>
    <n v="79.3"/>
    <n v="224.2"/>
    <n v="4.47"/>
    <n v="26"/>
    <d v="2012-03-06T00:00:00"/>
  </r>
  <r>
    <x v="7"/>
    <x v="39"/>
    <n v="16767"/>
    <n v="21315"/>
    <n v="15510"/>
    <n v="0.72765657987332866"/>
    <s v="GOOD"/>
    <n v="3.9"/>
    <n v="175"/>
    <s v="Medium HP"/>
    <s v="Car"/>
    <n v="15"/>
    <n v="71.135291609999996"/>
    <n v="109.6"/>
    <n v="78.8"/>
    <n v="192.6"/>
    <n v="4.2450000000000001"/>
    <n v="32"/>
    <d v="2012-01-06T00:00:00"/>
  </r>
  <r>
    <x v="7"/>
    <x v="40"/>
    <n v="31038"/>
    <n v="18575"/>
    <n v="13425"/>
    <n v="0.7227456258411844"/>
    <s v="GOOD"/>
    <n v="3.9"/>
    <n v="175"/>
    <s v="Medium HP"/>
    <s v="Car"/>
    <n v="16"/>
    <n v="70.078321540000005"/>
    <n v="127.2"/>
    <n v="78.8"/>
    <n v="208.5"/>
    <n v="4.298"/>
    <n v="32"/>
    <d v="2012-07-26T00:00:00"/>
  </r>
  <r>
    <x v="7"/>
    <x v="41"/>
    <n v="111313"/>
    <n v="16980"/>
    <n v="11260"/>
    <n v="0.66313309776207308"/>
    <s v="POOR"/>
    <n v="2.5"/>
    <n v="120"/>
    <s v="Medium HP"/>
    <s v="Car"/>
    <n v="19"/>
    <n v="49.64500177"/>
    <n v="131"/>
    <n v="71.5"/>
    <n v="215"/>
    <n v="3.5569999999999999"/>
    <n v="22"/>
    <d v="2011-11-25T00:00:00"/>
  </r>
  <r>
    <x v="7"/>
    <x v="42"/>
    <n v="101323"/>
    <n v="26310"/>
    <n v="21436"/>
    <n v="0.81474724439376667"/>
    <s v="GOOD"/>
    <n v="5.2"/>
    <n v="230"/>
    <s v="Medium HP"/>
    <s v="Car"/>
    <n v="17"/>
    <n v="92.85412522"/>
    <n v="115.7"/>
    <n v="71.7"/>
    <n v="193.5"/>
    <n v="4.3940000000000001"/>
    <n v="25"/>
    <d v="2012-06-27T00:00:00"/>
  </r>
  <r>
    <x v="7"/>
    <x v="43"/>
    <n v="181749"/>
    <n v="19565"/>
    <n v="12025"/>
    <n v="0.61461794019933558"/>
    <s v="POOR"/>
    <n v="2.4"/>
    <n v="150"/>
    <s v="Medium HP"/>
    <s v="Car"/>
    <n v="24"/>
    <n v="61.227000310000001"/>
    <n v="113.3"/>
    <n v="76.8"/>
    <n v="186.3"/>
    <n v="3.5329999999999999"/>
    <n v="20"/>
    <d v="2011-09-01T00:00:00"/>
  </r>
  <r>
    <x v="8"/>
    <x v="44"/>
    <n v="70227"/>
    <n v="12070"/>
    <n v="7425"/>
    <n v="0.61516155758077884"/>
    <s v="POOR"/>
    <n v="2"/>
    <n v="110"/>
    <s v="Medium HP"/>
    <s v="Passenger"/>
    <n v="30"/>
    <n v="44.083709460000001"/>
    <n v="98.4"/>
    <n v="67"/>
    <n v="174.7"/>
    <n v="2.468"/>
    <n v="12.7"/>
    <d v="2012-03-31T00:00:00"/>
  </r>
  <r>
    <x v="8"/>
    <x v="45"/>
    <n v="113369"/>
    <n v="21560"/>
    <n v="12760"/>
    <n v="0.59183673469387754"/>
    <s v="POOR"/>
    <n v="3.8"/>
    <n v="190"/>
    <s v="Medium HP"/>
    <s v="Passenger"/>
    <n v="24"/>
    <n v="76.509184559999994"/>
    <n v="101.3"/>
    <n v="73.099999999999994"/>
    <n v="183.2"/>
    <n v="3.2029999999999998"/>
    <n v="15.7"/>
    <d v="2012-01-31T00:00:00"/>
  </r>
  <r>
    <x v="8"/>
    <x v="46"/>
    <n v="35068"/>
    <n v="17035"/>
    <n v="8835"/>
    <n v="0.5186380980334605"/>
    <s v="POOR"/>
    <n v="2.5"/>
    <n v="170"/>
    <s v="Medium HP"/>
    <s v="Passenger"/>
    <n v="25"/>
    <n v="67.351010720000005"/>
    <n v="106.5"/>
    <n v="69.099999999999994"/>
    <n v="184.6"/>
    <n v="2.7690000000000001"/>
    <n v="15"/>
    <d v="2012-08-20T00:00:00"/>
  </r>
  <r>
    <x v="8"/>
    <x v="47"/>
    <n v="245815"/>
    <n v="17885"/>
    <n v="10055"/>
    <n v="0.56220296337713171"/>
    <s v="POOR"/>
    <n v="3"/>
    <n v="155"/>
    <s v="Medium HP"/>
    <s v="Passenger"/>
    <n v="24"/>
    <n v="62.503739500000002"/>
    <n v="108.5"/>
    <n v="73"/>
    <n v="197.6"/>
    <n v="3.3679999999999999"/>
    <n v="16"/>
    <d v="2011-12-20T00:00:00"/>
  </r>
  <r>
    <x v="8"/>
    <x v="48"/>
    <n v="175670"/>
    <n v="12315"/>
    <n v="8670"/>
    <n v="0.7040194884287454"/>
    <s v="GOOD"/>
    <n v="2"/>
    <n v="107"/>
    <s v="Medium HP"/>
    <s v="Passenger"/>
    <n v="30"/>
    <n v="43.117132009999999"/>
    <n v="103"/>
    <n v="66.900000000000006"/>
    <n v="174.8"/>
    <n v="2.5640000000000001"/>
    <n v="13.2"/>
    <d v="2012-07-22T00:00:00"/>
  </r>
  <r>
    <x v="8"/>
    <x v="49"/>
    <n v="63403"/>
    <n v="22195"/>
    <n v="14210"/>
    <n v="0.64023428700157692"/>
    <s v="POOR"/>
    <n v="4.5999999999999996"/>
    <n v="200"/>
    <s v="Medium HP"/>
    <s v="Passenger"/>
    <n v="21"/>
    <n v="80.499536710000001"/>
    <n v="114.7"/>
    <n v="78.2"/>
    <n v="212"/>
    <n v="3.9079999999999999"/>
    <n v="19"/>
    <d v="2011-09-26T00:00:00"/>
  </r>
  <r>
    <x v="8"/>
    <x v="50"/>
    <n v="276747"/>
    <n v="31930"/>
    <n v="16640"/>
    <n v="0.52113999373629816"/>
    <s v="POOR"/>
    <n v="4"/>
    <n v="210"/>
    <s v="Medium HP"/>
    <s v="Car"/>
    <n v="19"/>
    <n v="87.635495779999999"/>
    <n v="111.6"/>
    <n v="70.2"/>
    <n v="190.7"/>
    <n v="3.8759999999999999"/>
    <n v="21"/>
    <d v="2012-04-25T00:00:00"/>
  </r>
  <r>
    <x v="8"/>
    <x v="51"/>
    <n v="155787"/>
    <n v="21410"/>
    <n v="13175"/>
    <n v="0.6153666510976179"/>
    <s v="POOR"/>
    <n v="3"/>
    <n v="150"/>
    <s v="Medium HP"/>
    <s v="Car"/>
    <n v="21"/>
    <n v="62.095048390000002"/>
    <n v="120.7"/>
    <n v="76.599999999999994"/>
    <n v="200.9"/>
    <n v="3.7610000000000001"/>
    <n v="26"/>
    <d v="2012-02-25T00:00:00"/>
  </r>
  <r>
    <x v="8"/>
    <x v="52"/>
    <n v="125338"/>
    <n v="36135"/>
    <n v="23575"/>
    <n v="0.65241455652414559"/>
    <s v="POOR"/>
    <n v="4.5999999999999996"/>
    <n v="240"/>
    <s v="Medium HP"/>
    <s v="Car"/>
    <n v="16"/>
    <n v="100.0248023"/>
    <n v="119"/>
    <n v="78.7"/>
    <n v="204.6"/>
    <n v="4.8079999999999998"/>
    <n v="26"/>
    <d v="2012-09-14T00:00:00"/>
  </r>
  <r>
    <x v="8"/>
    <x v="53"/>
    <n v="220650"/>
    <n v="12050"/>
    <n v="7850"/>
    <n v="0.65145228215767637"/>
    <s v="POOR"/>
    <n v="2.5"/>
    <n v="119"/>
    <s v="Medium HP"/>
    <s v="Car"/>
    <n v="23"/>
    <n v="47.389531310000002"/>
    <n v="117.5"/>
    <n v="69.400000000000006"/>
    <n v="200.7"/>
    <n v="3.0859999999999999"/>
    <n v="20"/>
    <d v="2012-01-14T00:00:00"/>
  </r>
  <r>
    <x v="8"/>
    <x v="54"/>
    <n v="540561"/>
    <n v="26935"/>
    <n v="15075"/>
    <n v="0.55968071282717657"/>
    <s v="POOR"/>
    <n v="4.5999999999999996"/>
    <n v="220"/>
    <s v="Medium HP"/>
    <s v="Car"/>
    <n v="18"/>
    <n v="89.401934729999994"/>
    <n v="138.5"/>
    <n v="79.099999999999994"/>
    <n v="224.5"/>
    <n v="4.2409999999999997"/>
    <n v="25.1"/>
    <d v="2012-08-16T00:00:00"/>
  </r>
  <r>
    <x v="9"/>
    <x v="55"/>
    <n v="199685"/>
    <n v="12885"/>
    <n v="9850"/>
    <n v="0.76445479239425684"/>
    <s v="GOOD"/>
    <n v="1.6"/>
    <n v="106"/>
    <s v="Medium HP"/>
    <s v="Passenger"/>
    <n v="32"/>
    <n v="42.879097340000001"/>
    <n v="103.2"/>
    <n v="67.099999999999994"/>
    <n v="175.1"/>
    <n v="2.339"/>
    <n v="11.9"/>
    <d v="2011-10-21T00:00:00"/>
  </r>
  <r>
    <x v="9"/>
    <x v="56"/>
    <n v="230902"/>
    <n v="15350"/>
    <n v="13210"/>
    <n v="0.86058631921824102"/>
    <s v="GOOD"/>
    <n v="2.2999999999999998"/>
    <n v="135"/>
    <s v="Medium HP"/>
    <s v="Passenger"/>
    <n v="27"/>
    <n v="54.269548290000003"/>
    <n v="106.9"/>
    <n v="70.3"/>
    <n v="188.8"/>
    <n v="2.9319999999999999"/>
    <n v="17.100000000000001"/>
    <d v="2012-05-20T00:00:00"/>
  </r>
  <r>
    <x v="9"/>
    <x v="57"/>
    <n v="73203"/>
    <n v="20550"/>
    <n v="17710"/>
    <n v="0.8618004866180049"/>
    <s v="GOOD"/>
    <n v="2"/>
    <n v="146"/>
    <s v="Medium HP"/>
    <s v="Car"/>
    <n v="24"/>
    <n v="60.087966620000003"/>
    <n v="103.2"/>
    <n v="68.900000000000006"/>
    <n v="177.6"/>
    <n v="3.2189999999999999"/>
    <n v="15.3"/>
    <d v="2012-03-21T00:00:00"/>
  </r>
  <r>
    <x v="9"/>
    <x v="58"/>
    <n v="12855"/>
    <n v="26600"/>
    <n v="17525"/>
    <n v="0.65883458646616544"/>
    <s v="POOR"/>
    <n v="3.2"/>
    <n v="205"/>
    <s v="Medium HP"/>
    <s v="Car"/>
    <n v="19"/>
    <n v="83.602500800000001"/>
    <n v="106.4"/>
    <n v="70.400000000000006"/>
    <n v="178.2"/>
    <n v="3.8570000000000002"/>
    <n v="21.1"/>
    <d v="2012-10-09T00:00:00"/>
  </r>
  <r>
    <x v="9"/>
    <x v="59"/>
    <n v="76029"/>
    <n v="26000"/>
    <n v="19490"/>
    <n v="0.74961538461538457"/>
    <s v="GOOD"/>
    <n v="3.5"/>
    <n v="210"/>
    <s v="Medium HP"/>
    <s v="Car"/>
    <n v="23"/>
    <n v="85.217691340000002"/>
    <n v="118.1"/>
    <n v="75.599999999999994"/>
    <n v="201.2"/>
    <n v="4.2880000000000003"/>
    <n v="20"/>
    <d v="2012-02-08T00:00:00"/>
  </r>
  <r>
    <x v="10"/>
    <x v="60"/>
    <n v="41184"/>
    <n v="9699"/>
    <n v="5860"/>
    <n v="0.6041859985565522"/>
    <s v="POOR"/>
    <n v="1.5"/>
    <n v="92"/>
    <s v="Low HP"/>
    <s v="Passenger"/>
    <n v="31"/>
    <n v="36.672283579999998"/>
    <n v="96.1"/>
    <n v="65.7"/>
    <n v="166.7"/>
    <n v="2.2400000000000002"/>
    <n v="11.9"/>
    <d v="2012-09-10T00:00:00"/>
  </r>
  <r>
    <x v="10"/>
    <x v="61"/>
    <n v="66692"/>
    <n v="11799"/>
    <n v="7825"/>
    <n v="0.66319179591490807"/>
    <s v="POOR"/>
    <n v="2"/>
    <n v="140"/>
    <s v="Medium HP"/>
    <s v="Passenger"/>
    <n v="27"/>
    <n v="54.590045160000003"/>
    <n v="100.4"/>
    <n v="66.900000000000006"/>
    <n v="174"/>
    <n v="2.6259999999999999"/>
    <n v="14.5"/>
    <d v="2011-11-15T00:00:00"/>
  </r>
  <r>
    <x v="10"/>
    <x v="62"/>
    <n v="29450"/>
    <n v="14999"/>
    <n v="8910"/>
    <n v="0.59403960264017597"/>
    <s v="POOR"/>
    <n v="2.4"/>
    <n v="148"/>
    <s v="Medium HP"/>
    <s v="Passenger"/>
    <n v="25"/>
    <n v="58.758248999999999"/>
    <n v="106.3"/>
    <n v="71.599999999999994"/>
    <n v="185.4"/>
    <n v="3.0720000000000001"/>
    <n v="17.2"/>
    <d v="2012-06-14T00:00:00"/>
  </r>
  <r>
    <x v="11"/>
    <x v="63"/>
    <n v="23713"/>
    <n v="29465"/>
    <n v="19690"/>
    <n v="0.66825046665535381"/>
    <s v="POOR"/>
    <n v="3"/>
    <n v="227"/>
    <s v="Medium HP"/>
    <s v="Passenger"/>
    <n v="25"/>
    <n v="92.436889230000006"/>
    <n v="108.3"/>
    <n v="70.2"/>
    <n v="193.7"/>
    <n v="3.3420000000000001"/>
    <n v="18.5"/>
    <d v="2012-04-15T00:00:00"/>
  </r>
  <r>
    <x v="12"/>
    <x v="64"/>
    <n v="15467"/>
    <n v="42800"/>
    <n v="33219"/>
    <n v="0.77614485981308412"/>
    <s v="GOOD"/>
    <n v="3"/>
    <n v="240"/>
    <s v="Medium HP"/>
    <s v="Passenger"/>
    <n v="21"/>
    <n v="102.17898479999999"/>
    <n v="114.5"/>
    <n v="71.599999999999994"/>
    <n v="191.3"/>
    <n v="3.65"/>
    <n v="18.399999999999999"/>
    <d v="2012-11-03T00:00:00"/>
  </r>
  <r>
    <x v="13"/>
    <x v="65"/>
    <n v="55557"/>
    <n v="14460"/>
    <n v="13475"/>
    <n v="0.931881051175657"/>
    <s v="GOOD"/>
    <n v="2.5"/>
    <n v="120"/>
    <s v="Medium HP"/>
    <s v="Car"/>
    <n v="17"/>
    <n v="48.672897910000003"/>
    <n v="93.4"/>
    <n v="66.7"/>
    <n v="152"/>
    <n v="3.0449999999999999"/>
    <n v="19"/>
    <d v="2012-03-04T00:00:00"/>
  </r>
  <r>
    <x v="13"/>
    <x v="66"/>
    <n v="80556"/>
    <n v="21620"/>
    <n v="13775"/>
    <n v="0.63714153561517117"/>
    <s v="POOR"/>
    <n v="4"/>
    <n v="190"/>
    <s v="Medium HP"/>
    <s v="Car"/>
    <n v="20"/>
    <n v="76.584439619999998"/>
    <n v="101.4"/>
    <n v="69.400000000000006"/>
    <n v="167.5"/>
    <n v="3.194"/>
    <n v="20"/>
    <d v="2012-10-05T00:00:00"/>
  </r>
  <r>
    <x v="13"/>
    <x v="67"/>
    <n v="157040"/>
    <n v="26895"/>
    <n v="18810"/>
    <n v="0.69938650306748462"/>
    <s v="GOOD"/>
    <n v="4"/>
    <n v="195"/>
    <s v="Medium HP"/>
    <s v="Car"/>
    <n v="19"/>
    <n v="80.387779120000005"/>
    <n v="105.9"/>
    <n v="72.3"/>
    <n v="181.5"/>
    <n v="3.88"/>
    <n v="20.5"/>
    <d v="2011-12-10T00:00:00"/>
  </r>
  <r>
    <x v="14"/>
    <x v="68"/>
    <n v="24072"/>
    <n v="31505"/>
    <n v="26975"/>
    <n v="0.85621329947627356"/>
    <s v="GOOD"/>
    <n v="3"/>
    <n v="210"/>
    <s v="Medium HP"/>
    <s v="Passenger"/>
    <n v="23"/>
    <n v="87.211001039999999"/>
    <n v="105.1"/>
    <n v="70.5"/>
    <n v="190.2"/>
    <n v="3.3730000000000002"/>
    <n v="18.5"/>
    <d v="2012-07-09T00:00:00"/>
  </r>
  <r>
    <x v="14"/>
    <x v="69"/>
    <n v="12698"/>
    <n v="37805"/>
    <n v="32075.000000000004"/>
    <n v="0.8484327469911388"/>
    <s v="GOOD"/>
    <n v="3"/>
    <n v="225"/>
    <s v="Medium HP"/>
    <s v="Passenger"/>
    <n v="23"/>
    <n v="94.946698400000002"/>
    <n v="110.2"/>
    <n v="70.900000000000006"/>
    <n v="189.2"/>
    <n v="3.6379999999999999"/>
    <n v="19.8"/>
    <d v="2012-05-10T00:00:00"/>
  </r>
  <r>
    <x v="14"/>
    <x v="70"/>
    <n v="3334"/>
    <n v="46305"/>
    <n v="38955"/>
    <n v="0.84126984126984128"/>
    <s v="GOOD"/>
    <n v="4"/>
    <n v="300"/>
    <s v="High HP"/>
    <s v="Passenger"/>
    <n v="21"/>
    <n v="125.0133574"/>
    <n v="110.2"/>
    <n v="70.900000000000006"/>
    <n v="189.2"/>
    <n v="3.6930000000000001"/>
    <n v="19.8"/>
    <d v="2012-11-28T00:00:00"/>
  </r>
  <r>
    <x v="14"/>
    <x v="71"/>
    <n v="6375"/>
    <n v="54005"/>
    <n v="40375"/>
    <n v="0.74761596148504772"/>
    <s v="GOOD"/>
    <n v="4"/>
    <n v="290"/>
    <s v="Medium HP"/>
    <s v="Passenger"/>
    <n v="22"/>
    <n v="124.44671630000001"/>
    <n v="112.2"/>
    <n v="72"/>
    <n v="196.7"/>
    <n v="3.89"/>
    <n v="22.5"/>
    <d v="2012-03-29T00:00:00"/>
  </r>
  <r>
    <x v="14"/>
    <x v="72"/>
    <n v="9126"/>
    <n v="60105"/>
    <n v="43870"/>
    <n v="0.72988936028616591"/>
    <s v="GOOD"/>
    <n v="4.7"/>
    <n v="230"/>
    <s v="Medium HP"/>
    <s v="Car"/>
    <n v="15"/>
    <n v="105.760458"/>
    <n v="112.2"/>
    <n v="76.400000000000006"/>
    <n v="192.5"/>
    <n v="5.4009999999999998"/>
    <n v="25.4"/>
    <d v="2012-10-30T00:00:00"/>
  </r>
  <r>
    <x v="14"/>
    <x v="73"/>
    <n v="51238"/>
    <n v="34605"/>
    <n v="29140"/>
    <n v="0.84207484467562488"/>
    <s v="GOOD"/>
    <n v="3"/>
    <n v="220"/>
    <s v="Medium HP"/>
    <s v="Car"/>
    <n v="21"/>
    <n v="91.943801559999997"/>
    <n v="103"/>
    <n v="71.5"/>
    <n v="180.1"/>
    <n v="3.9"/>
    <n v="17.2"/>
    <d v="2012-01-04T00:00:00"/>
  </r>
  <r>
    <x v="15"/>
    <x v="74"/>
    <n v="13798"/>
    <n v="39080"/>
    <n v="20525"/>
    <n v="0.52520470829068577"/>
    <s v="POOR"/>
    <n v="4.5999999999999996"/>
    <n v="275"/>
    <s v="Medium HP"/>
    <s v="Passenger"/>
    <n v="22"/>
    <n v="113.5402069"/>
    <n v="109"/>
    <n v="73.599999999999994"/>
    <n v="208.5"/>
    <n v="3.8679999999999999"/>
    <n v="20"/>
    <d v="2012-08-03T00:00:00"/>
  </r>
  <r>
    <x v="15"/>
    <x v="75"/>
    <n v="48911"/>
    <n v="43330"/>
    <n v="21725"/>
    <n v="0.5013847219016847"/>
    <s v="POOR"/>
    <n v="4.5999999999999996"/>
    <n v="215"/>
    <s v="Medium HP"/>
    <s v="Passenger"/>
    <n v="21"/>
    <n v="93.957916900000001"/>
    <n v="117.7"/>
    <n v="78.2"/>
    <n v="215.3"/>
    <n v="4.1210000000000004"/>
    <n v="19"/>
    <d v="2012-06-04T00:00:00"/>
  </r>
  <r>
    <x v="15"/>
    <x v="76"/>
    <n v="22925"/>
    <n v="42660"/>
    <n v="20765"/>
    <n v="0.48675574308485703"/>
    <s v="POOR"/>
    <n v="5.4"/>
    <n v="300"/>
    <s v="High HP"/>
    <s v="Car"/>
    <n v="15"/>
    <n v="123.97204670000001"/>
    <n v="119"/>
    <n v="79.900000000000006"/>
    <n v="204.8"/>
    <n v="5.3929999999999998"/>
    <n v="30"/>
    <d v="2012-12-23T00:00:00"/>
  </r>
  <r>
    <x v="16"/>
    <x v="77"/>
    <n v="26232"/>
    <n v="13987"/>
    <n v="8325"/>
    <n v="0.59519553871452058"/>
    <s v="POOR"/>
    <n v="1.8"/>
    <n v="113"/>
    <s v="Medium HP"/>
    <s v="Passenger"/>
    <n v="30"/>
    <n v="45.832180559999998"/>
    <n v="98.4"/>
    <n v="66.5"/>
    <n v="173.6"/>
    <n v="2.25"/>
    <n v="13.2"/>
    <d v="2012-04-23T00:00:00"/>
  </r>
  <r>
    <x v="16"/>
    <x v="78"/>
    <n v="42541"/>
    <n v="19047"/>
    <n v="10395"/>
    <n v="0.54575523704520401"/>
    <s v="POOR"/>
    <n v="2.4"/>
    <n v="154"/>
    <s v="Medium HP"/>
    <s v="Passenger"/>
    <n v="24"/>
    <n v="62.441962349999997"/>
    <n v="100.8"/>
    <n v="68.900000000000006"/>
    <n v="175.4"/>
    <n v="2.91"/>
    <n v="15.9"/>
    <d v="2012-11-24T00:00:00"/>
  </r>
  <r>
    <x v="16"/>
    <x v="79"/>
    <n v="55616"/>
    <n v="17357"/>
    <n v="10595"/>
    <n v="0.61041654663824396"/>
    <s v="POOR"/>
    <n v="2.4"/>
    <n v="145"/>
    <s v="Medium HP"/>
    <s v="Passenger"/>
    <n v="25"/>
    <n v="58.606772919999997"/>
    <n v="103.7"/>
    <n v="68.5"/>
    <n v="187.8"/>
    <n v="2.9449999999999998"/>
    <n v="16.3"/>
    <d v="2012-01-29T00:00:00"/>
  </r>
  <r>
    <x v="16"/>
    <x v="80"/>
    <n v="5711"/>
    <n v="24997"/>
    <n v="16575"/>
    <n v="0.66307956954834579"/>
    <s v="POOR"/>
    <n v="3.5"/>
    <n v="210"/>
    <s v="Medium HP"/>
    <s v="Passenger"/>
    <n v="22"/>
    <n v="84.83077858"/>
    <n v="107.1"/>
    <n v="70.3"/>
    <n v="194.1"/>
    <n v="3.4430000000000001"/>
    <n v="19"/>
    <d v="2012-08-28T00:00:00"/>
  </r>
  <r>
    <x v="16"/>
    <x v="81"/>
    <n v="110"/>
    <n v="25450"/>
    <n v="20940"/>
    <n v="0.82278978388998036"/>
    <s v="GOOD"/>
    <n v="3"/>
    <n v="161"/>
    <s v="Medium HP"/>
    <s v="Passenger"/>
    <n v="21"/>
    <n v="67.544154939999999"/>
    <n v="97.2"/>
    <n v="72.400000000000006"/>
    <n v="180.3"/>
    <n v="3.1309999999999998"/>
    <n v="19.8"/>
    <d v="2012-06-29T00:00:00"/>
  </r>
  <r>
    <x v="16"/>
    <x v="82"/>
    <n v="11337"/>
    <n v="31807"/>
    <n v="19125"/>
    <n v="0.601282736504543"/>
    <s v="POOR"/>
    <n v="3.5"/>
    <n v="200"/>
    <s v="Medium HP"/>
    <s v="Car"/>
    <n v="18"/>
    <n v="83.920815039999994"/>
    <n v="107.3"/>
    <n v="69.900000000000006"/>
    <n v="186.6"/>
    <n v="4.5199999999999996"/>
    <n v="24.3"/>
    <d v="2012-01-17T00:00:00"/>
  </r>
  <r>
    <x v="16"/>
    <x v="83"/>
    <n v="39348"/>
    <n v="22527"/>
    <n v="13880"/>
    <n v="0.6161495094775159"/>
    <s v="POOR"/>
    <n v="3"/>
    <n v="173"/>
    <s v="Medium HP"/>
    <s v="Car"/>
    <n v="20"/>
    <n v="70.660941789999995"/>
    <n v="107.3"/>
    <n v="66.7"/>
    <n v="178.3"/>
    <n v="3.51"/>
    <n v="19.5"/>
    <d v="2012-05-18T00:00:00"/>
  </r>
  <r>
    <x v="17"/>
    <x v="84"/>
    <n v="14351"/>
    <n v="16239.999999999998"/>
    <n v="8800"/>
    <n v="0.54187192118226613"/>
    <s v="POOR"/>
    <n v="2"/>
    <n v="125"/>
    <s v="Medium HP"/>
    <s v="Passenger"/>
    <n v="28"/>
    <n v="50.997747609999998"/>
    <n v="106.5"/>
    <n v="69.099999999999994"/>
    <n v="184.8"/>
    <n v="2.7690000000000001"/>
    <n v="15"/>
    <d v="2012-12-19T00:00:00"/>
  </r>
  <r>
    <x v="17"/>
    <x v="85"/>
    <n v="26529"/>
    <n v="16540"/>
    <n v="13890"/>
    <n v="0.83978234582829503"/>
    <s v="GOOD"/>
    <n v="2"/>
    <n v="125"/>
    <s v="Medium HP"/>
    <s v="Passenger"/>
    <n v="30"/>
    <n v="51.113474259999997"/>
    <n v="106.4"/>
    <n v="69.599999999999994"/>
    <n v="185"/>
    <n v="2.8919999999999999"/>
    <n v="16"/>
    <d v="2012-02-23T00:00:00"/>
  </r>
  <r>
    <x v="17"/>
    <x v="86"/>
    <n v="67956"/>
    <n v="19035"/>
    <n v="11030"/>
    <n v="0.57945889151562913"/>
    <s v="POOR"/>
    <n v="3"/>
    <n v="153"/>
    <s v="Medium HP"/>
    <s v="Passenger"/>
    <n v="24"/>
    <n v="62.239966629999998"/>
    <n v="108.5"/>
    <n v="73"/>
    <n v="199.7"/>
    <n v="3.379"/>
    <n v="16"/>
    <d v="2012-09-22T00:00:00"/>
  </r>
  <r>
    <x v="17"/>
    <x v="87"/>
    <n v="81174"/>
    <n v="22605"/>
    <n v="14875"/>
    <n v="0.65804025658040255"/>
    <s v="POOR"/>
    <n v="4.5999999999999996"/>
    <n v="200"/>
    <s v="Medium HP"/>
    <s v="Passenger"/>
    <n v="21"/>
    <n v="80.657696459999997"/>
    <n v="114.7"/>
    <n v="78.2"/>
    <n v="212"/>
    <n v="3.9580000000000002"/>
    <n v="19"/>
    <d v="2012-07-24T00:00:00"/>
  </r>
  <r>
    <x v="17"/>
    <x v="88"/>
    <n v="27609"/>
    <n v="27560"/>
    <n v="20430"/>
    <n v="0.74129172714078373"/>
    <s v="GOOD"/>
    <n v="4"/>
    <n v="210"/>
    <s v="Medium HP"/>
    <s v="Car"/>
    <n v="18"/>
    <n v="85.949744249999995"/>
    <n v="111.6"/>
    <n v="70.2"/>
    <n v="190.1"/>
    <n v="3.8759999999999999"/>
    <n v="21"/>
    <d v="2008-02-13T00:00:00"/>
  </r>
  <r>
    <x v="17"/>
    <x v="89"/>
    <n v="20380"/>
    <n v="22510"/>
    <n v="14795"/>
    <n v="0.65726343847179036"/>
    <s v="POOR"/>
    <n v="3.3"/>
    <n v="170"/>
    <s v="Medium HP"/>
    <s v="Car"/>
    <n v="21"/>
    <n v="69.671460999999994"/>
    <n v="112.2"/>
    <n v="74.900000000000006"/>
    <n v="194.7"/>
    <n v="3.944"/>
    <n v="20"/>
    <d v="2009-10-20T00:00:00"/>
  </r>
  <r>
    <x v="18"/>
    <x v="90"/>
    <n v="18392"/>
    <n v="31750"/>
    <n v="26050"/>
    <n v="0.82047244094488192"/>
    <s v="GOOD"/>
    <n v="2.2999999999999998"/>
    <n v="185"/>
    <s v="Medium HP"/>
    <s v="Passenger"/>
    <n v="26"/>
    <n v="78.280730879999993"/>
    <n v="105.9"/>
    <n v="67.7"/>
    <n v="177.4"/>
    <n v="3.25"/>
    <n v="16.399999999999999"/>
    <d v="2011-04-24T00:00:00"/>
  </r>
  <r>
    <x v="18"/>
    <x v="91"/>
    <n v="27602"/>
    <n v="49900"/>
    <n v="41450"/>
    <n v="0.83066132264529058"/>
    <s v="GOOD"/>
    <n v="3.2"/>
    <n v="221"/>
    <s v="Medium HP"/>
    <s v="Passenger"/>
    <n v="25"/>
    <n v="98.249737499999995"/>
    <n v="111.5"/>
    <n v="70.8"/>
    <n v="189.4"/>
    <n v="3.823"/>
    <n v="21.1"/>
    <d v="2011-07-12T00:00:00"/>
  </r>
  <r>
    <x v="18"/>
    <x v="92"/>
    <n v="16774"/>
    <n v="69700"/>
    <n v="50375"/>
    <n v="0.72274031563845054"/>
    <s v="GOOD"/>
    <n v="4.3"/>
    <n v="275"/>
    <s v="Medium HP"/>
    <s v="Passenger"/>
    <n v="21"/>
    <n v="125.2738757"/>
    <n v="121.5"/>
    <n v="73.099999999999994"/>
    <n v="203.1"/>
    <n v="4.133"/>
    <n v="23.2"/>
    <d v="2011-06-13T00:00:00"/>
  </r>
  <r>
    <x v="18"/>
    <x v="93"/>
    <n v="3311"/>
    <n v="82600"/>
    <n v="58600"/>
    <n v="0.70944309927360771"/>
    <s v="GOOD"/>
    <n v="5"/>
    <n v="302"/>
    <s v="High HP"/>
    <s v="Passenger"/>
    <n v="20"/>
    <n v="139.98229359999999"/>
    <n v="99"/>
    <n v="71.3"/>
    <n v="177.1"/>
    <n v="4.125"/>
    <n v="21.1"/>
    <d v="2011-03-17T00:00:00"/>
  </r>
  <r>
    <x v="18"/>
    <x v="94"/>
    <n v="7998"/>
    <n v="38900"/>
    <n v="32436"/>
    <n v="0.83383033419023134"/>
    <s v="GOOD"/>
    <n v="2.2999999999999998"/>
    <n v="190"/>
    <s v="Medium HP"/>
    <s v="Passenger"/>
    <n v="26"/>
    <n v="82.807361929999999"/>
    <n v="94.5"/>
    <n v="67.5"/>
    <n v="157.9"/>
    <n v="3.0550000000000002"/>
    <n v="15.9"/>
    <d v="2011-01-16T00:00:00"/>
  </r>
  <r>
    <x v="18"/>
    <x v="95"/>
    <n v="1526"/>
    <n v="41000"/>
    <n v="28635"/>
    <n v="0.69841463414634142"/>
    <s v="GOOD"/>
    <n v="2.2999999999999998"/>
    <n v="185"/>
    <s v="Medium HP"/>
    <s v="Passenger"/>
    <n v="27"/>
    <n v="81.848969240000002"/>
    <n v="94.5"/>
    <n v="67.5"/>
    <n v="157.30000000000001"/>
    <n v="2.9750000000000001"/>
    <n v="14"/>
    <d v="2011-08-06T00:00:00"/>
  </r>
  <r>
    <x v="18"/>
    <x v="96"/>
    <n v="11592"/>
    <n v="41600"/>
    <n v="29200"/>
    <n v="0.70192307692307687"/>
    <s v="GOOD"/>
    <n v="3.2"/>
    <n v="215"/>
    <s v="Medium HP"/>
    <s v="Passenger"/>
    <n v="26"/>
    <n v="92.925791770000004"/>
    <n v="105.9"/>
    <n v="67.8"/>
    <n v="180.3"/>
    <n v="3.2130000000000001"/>
    <n v="16.399999999999999"/>
    <d v="2011-07-08T00:00:00"/>
  </r>
  <r>
    <x v="18"/>
    <x v="97"/>
    <n v="954"/>
    <n v="85500"/>
    <n v="63423"/>
    <n v="0.74178947368421055"/>
    <s v="GOOD"/>
    <n v="5"/>
    <n v="302"/>
    <s v="High HP"/>
    <s v="Passenger"/>
    <n v="20"/>
    <n v="141.10098450000001"/>
    <n v="113.6"/>
    <n v="73.099999999999994"/>
    <n v="196.6"/>
    <n v="4.1150000000000002"/>
    <n v="23.2"/>
    <d v="2011-04-11T00:00:00"/>
  </r>
  <r>
    <x v="18"/>
    <x v="98"/>
    <n v="28976"/>
    <n v="35300"/>
    <n v="28720"/>
    <n v="0.81359773371104815"/>
    <s v="GOOD"/>
    <n v="3.2"/>
    <n v="215"/>
    <s v="Medium HP"/>
    <s v="Car"/>
    <n v="20"/>
    <n v="90.495532130000001"/>
    <n v="111"/>
    <n v="72.2"/>
    <n v="180.6"/>
    <n v="4.3869999999999996"/>
    <n v="19"/>
    <d v="2011-02-10T00:00:00"/>
  </r>
  <r>
    <x v="19"/>
    <x v="99"/>
    <n v="42643"/>
    <n v="13499"/>
    <n v="8450"/>
    <n v="0.62597229424401812"/>
    <s v="POOR"/>
    <n v="1.8"/>
    <n v="126"/>
    <s v="Medium HP"/>
    <s v="Passenger"/>
    <n v="30"/>
    <n v="50.241977910000003"/>
    <n v="99.8"/>
    <n v="67.3"/>
    <n v="177.5"/>
    <n v="2.593"/>
    <n v="13.2"/>
    <d v="2011-08-31T00:00:00"/>
  </r>
  <r>
    <x v="19"/>
    <x v="100"/>
    <n v="88094"/>
    <n v="20390"/>
    <n v="11295"/>
    <n v="0.55394801373222169"/>
    <s v="POOR"/>
    <n v="2.4"/>
    <n v="155"/>
    <s v="Medium HP"/>
    <s v="Passenger"/>
    <n v="25"/>
    <n v="63.313727829999998"/>
    <n v="103.1"/>
    <n v="69.099999999999994"/>
    <n v="183.5"/>
    <n v="3.012"/>
    <n v="15.9"/>
    <d v="2011-08-02T00:00:00"/>
  </r>
  <r>
    <x v="19"/>
    <x v="101"/>
    <n v="79853"/>
    <n v="26249"/>
    <n v="15125"/>
    <n v="0.57621242714008147"/>
    <s v="POOR"/>
    <n v="3"/>
    <n v="222"/>
    <s v="Medium HP"/>
    <s v="Passenger"/>
    <n v="25"/>
    <n v="89.427820310000001"/>
    <n v="108.3"/>
    <n v="70.3"/>
    <n v="190.5"/>
    <n v="3.294"/>
    <n v="18.5"/>
    <d v="2011-05-06T00:00:00"/>
  </r>
  <r>
    <x v="19"/>
    <x v="102"/>
    <n v="27308"/>
    <n v="26399"/>
    <n v="15380"/>
    <n v="0.58259782567521501"/>
    <s v="POOR"/>
    <n v="3.3"/>
    <n v="170"/>
    <s v="Medium HP"/>
    <s v="Car"/>
    <n v="21"/>
    <n v="71.171664129999996"/>
    <n v="112.2"/>
    <n v="74.900000000000006"/>
    <n v="194.8"/>
    <n v="3.9910000000000001"/>
    <n v="20"/>
    <d v="2011-03-07T00:00:00"/>
  </r>
  <r>
    <x v="19"/>
    <x v="103"/>
    <n v="42574"/>
    <n v="29299"/>
    <n v="17810"/>
    <n v="0.60787057578756953"/>
    <s v="POOR"/>
    <n v="3.3"/>
    <n v="170"/>
    <s v="Medium HP"/>
    <s v="Car"/>
    <n v="19"/>
    <n v="72.290355079999998"/>
    <n v="106.3"/>
    <n v="71.7"/>
    <n v="182.6"/>
    <n v="3.9470000000000001"/>
    <n v="21"/>
    <d v="2011-09-25T00:00:00"/>
  </r>
  <r>
    <x v="19"/>
    <x v="104"/>
    <n v="54158"/>
    <n v="22799"/>
    <n v="13093"/>
    <n v="0.57427957366551163"/>
    <s v="POOR"/>
    <n v="3.3"/>
    <n v="170"/>
    <s v="Medium HP"/>
    <s v="Car"/>
    <n v="18"/>
    <n v="69.78294434"/>
    <n v="104.3"/>
    <n v="70.400000000000006"/>
    <n v="178"/>
    <n v="3.8210000000000002"/>
    <n v="19.399999999999999"/>
    <d v="2011-01-24T00:00:00"/>
  </r>
  <r>
    <x v="19"/>
    <x v="105"/>
    <n v="65004.999999999993"/>
    <n v="17890"/>
    <n v="10670"/>
    <n v="0.59642258244829516"/>
    <s v="POOR"/>
    <n v="3.3"/>
    <n v="170"/>
    <s v="Medium HP"/>
    <s v="Car"/>
    <n v="18"/>
    <n v="67.889270589999995"/>
    <n v="116.1"/>
    <n v="66.5"/>
    <n v="196.1"/>
    <n v="3.2170000000000001"/>
    <n v="19.399999999999999"/>
    <d v="2011-08-27T00:00:00"/>
  </r>
  <r>
    <x v="20"/>
    <x v="106"/>
    <n v="1112"/>
    <n v="18145"/>
    <n v="11240"/>
    <n v="0.61945439515017908"/>
    <s v="POOR"/>
    <n v="3.1"/>
    <n v="150"/>
    <s v="Medium HP"/>
    <s v="Passenger"/>
    <n v="25"/>
    <n v="60.861611549999999"/>
    <n v="107"/>
    <n v="69.400000000000006"/>
    <n v="192"/>
    <n v="3.1019999999999999"/>
    <n v="15.2"/>
    <d v="2011-05-31T00:00:00"/>
  </r>
  <r>
    <x v="20"/>
    <x v="107"/>
    <n v="38554"/>
    <n v="24150"/>
    <n v="17100"/>
    <n v="0.70807453416149069"/>
    <s v="GOOD"/>
    <n v="3.5"/>
    <n v="215"/>
    <s v="Medium HP"/>
    <s v="Passenger"/>
    <n v="23"/>
    <n v="86.272522910000006"/>
    <n v="109"/>
    <n v="73.599999999999994"/>
    <n v="195.9"/>
    <n v="3.4550000000000001"/>
    <n v="18"/>
    <d v="2011-04-01T00:00:00"/>
  </r>
  <r>
    <x v="20"/>
    <x v="108"/>
    <n v="80255"/>
    <n v="18270"/>
    <n v="11459"/>
    <n v="0.62720306513409962"/>
    <s v="POOR"/>
    <n v="2.4"/>
    <n v="150"/>
    <s v="Medium HP"/>
    <s v="Passenger"/>
    <n v="27"/>
    <n v="60.727446929999999"/>
    <n v="107"/>
    <n v="70.099999999999994"/>
    <n v="186.7"/>
    <n v="2.9580000000000002"/>
    <n v="15"/>
    <d v="2009-10-20T00:00:00"/>
  </r>
  <r>
    <x v="20"/>
    <x v="109"/>
    <n v="14690"/>
    <n v="36229"/>
    <n v="19890"/>
    <n v="0.54900770101300067"/>
    <s v="POOR"/>
    <n v="4"/>
    <n v="250"/>
    <s v="Medium HP"/>
    <s v="Passenger"/>
    <n v="22"/>
    <n v="103.4416926"/>
    <n v="113.8"/>
    <n v="74.400000000000006"/>
    <n v="205.4"/>
    <n v="3.9670000000000001"/>
    <n v="18.5"/>
    <d v="2011-02-18T00:00:00"/>
  </r>
  <r>
    <x v="20"/>
    <x v="110"/>
    <n v="20017"/>
    <n v="31598"/>
    <n v="19925"/>
    <n v="0.63057788467624531"/>
    <s v="POOR"/>
    <n v="4.3"/>
    <n v="190"/>
    <s v="Medium HP"/>
    <s v="Car"/>
    <n v="19"/>
    <n v="80.511672590000003"/>
    <n v="107"/>
    <n v="67.8"/>
    <n v="181.2"/>
    <n v="4.0679999999999996"/>
    <n v="17.5"/>
    <d v="2011-09-21T00:00:00"/>
  </r>
  <r>
    <x v="20"/>
    <x v="111"/>
    <n v="24361"/>
    <n v="25345"/>
    <n v="15240"/>
    <n v="0.60130203195896625"/>
    <s v="POOR"/>
    <n v="3.4"/>
    <n v="185"/>
    <s v="Medium HP"/>
    <s v="Car"/>
    <n v="22"/>
    <n v="76.096570420000006"/>
    <n v="120"/>
    <n v="72.2"/>
    <n v="201.4"/>
    <n v="3.948"/>
    <n v="25"/>
    <d v="2011-06-25T00:00:00"/>
  </r>
  <r>
    <x v="21"/>
    <x v="33"/>
    <n v="32734"/>
    <n v="12640"/>
    <n v="7750"/>
    <n v="0.61313291139240511"/>
    <s v="POOR"/>
    <n v="2"/>
    <n v="132"/>
    <s v="Medium HP"/>
    <s v="Passenger"/>
    <n v="29"/>
    <n v="52.084898750000001"/>
    <n v="105"/>
    <n v="74.400000000000006"/>
    <n v="174.4"/>
    <n v="2.5590000000000002"/>
    <n v="12.5"/>
    <d v="2011-04-26T00:00:00"/>
  </r>
  <r>
    <x v="21"/>
    <x v="112"/>
    <n v="5240"/>
    <n v="16079.999999999998"/>
    <n v="9800"/>
    <n v="0.60945273631840802"/>
    <s v="POOR"/>
    <n v="2"/>
    <n v="132"/>
    <s v="Medium HP"/>
    <s v="Passenger"/>
    <n v="27"/>
    <n v="53.411897670000002"/>
    <n v="108"/>
    <n v="71"/>
    <n v="186.3"/>
    <n v="2.9420000000000002"/>
    <n v="16"/>
    <d v="2011-11-14T00:00:00"/>
  </r>
  <r>
    <x v="21"/>
    <x v="113"/>
    <n v="24155"/>
    <n v="18850"/>
    <n v="12025"/>
    <n v="0.63793103448275867"/>
    <s v="POOR"/>
    <n v="2.4"/>
    <n v="150"/>
    <s v="Medium HP"/>
    <s v="Car"/>
    <n v="24"/>
    <n v="60.951185119999998"/>
    <n v="113.3"/>
    <n v="76.8"/>
    <n v="186.3"/>
    <n v="3.528"/>
    <n v="20"/>
    <d v="2011-04-24T00:00:00"/>
  </r>
  <r>
    <x v="21"/>
    <x v="114"/>
    <n v="1872"/>
    <n v="43000"/>
    <n v="30434"/>
    <n v="0.70776744186046514"/>
    <s v="GOOD"/>
    <n v="3.5"/>
    <n v="253"/>
    <s v="Medium HP"/>
    <s v="Passenger"/>
    <n v="21"/>
    <n v="106.98445630000001"/>
    <n v="113.3"/>
    <n v="76.3"/>
    <n v="165.4"/>
    <n v="2.85"/>
    <n v="12"/>
    <d v="2012-06-27T00:00:00"/>
  </r>
  <r>
    <x v="22"/>
    <x v="115"/>
    <n v="51645"/>
    <n v="21610"/>
    <n v="13790"/>
    <n v="0.6381304951411384"/>
    <s v="POOR"/>
    <n v="2.4"/>
    <n v="150"/>
    <s v="Medium HP"/>
    <s v="Passenger"/>
    <n v="27"/>
    <n v="62.015870300000003"/>
    <n v="104.1"/>
    <n v="68.400000000000006"/>
    <n v="181.9"/>
    <n v="2.9060000000000001"/>
    <n v="15"/>
    <d v="2012-01-25T00:00:00"/>
  </r>
  <r>
    <x v="22"/>
    <x v="116"/>
    <n v="131097"/>
    <n v="19720"/>
    <n v="10290"/>
    <n v="0.52180527383367137"/>
    <s v="POOR"/>
    <n v="3.4"/>
    <n v="175"/>
    <s v="Medium HP"/>
    <s v="Passenger"/>
    <n v="25"/>
    <n v="70.389737260000004"/>
    <n v="107"/>
    <n v="70.400000000000006"/>
    <n v="186.3"/>
    <n v="3.0910000000000002"/>
    <n v="15.2"/>
    <d v="2012-11-26T00:00:00"/>
  </r>
  <r>
    <x v="22"/>
    <x v="117"/>
    <n v="19911"/>
    <n v="25310"/>
    <n v="17805"/>
    <n v="0.70347688660608454"/>
    <s v="GOOD"/>
    <n v="3.8"/>
    <n v="200"/>
    <s v="Medium HP"/>
    <s v="Passenger"/>
    <n v="25"/>
    <n v="81.492726160000004"/>
    <n v="101.1"/>
    <n v="74.5"/>
    <n v="193.4"/>
    <n v="3.492"/>
    <n v="16.8"/>
    <d v="2012-06-16T00:00:00"/>
  </r>
  <r>
    <x v="22"/>
    <x v="118"/>
    <n v="92364"/>
    <n v="21665"/>
    <n v="14010"/>
    <n v="0.6466651280867759"/>
    <s v="POOR"/>
    <n v="3.8"/>
    <n v="195"/>
    <s v="Medium HP"/>
    <s v="Passenger"/>
    <n v="25"/>
    <n v="78.318168130000004"/>
    <n v="110.5"/>
    <n v="72.7"/>
    <n v="196.5"/>
    <n v="3.3959999999999999"/>
    <n v="18"/>
    <d v="2012-10-15T00:00:00"/>
  </r>
  <r>
    <x v="22"/>
    <x v="119"/>
    <n v="35945"/>
    <n v="23755"/>
    <n v="13225"/>
    <n v="0.55672490002104824"/>
    <s v="POOR"/>
    <n v="3.8"/>
    <n v="205"/>
    <s v="Medium HP"/>
    <s v="Passenger"/>
    <n v="24"/>
    <n v="82.661355599999993"/>
    <n v="112.2"/>
    <n v="72.599999999999994"/>
    <n v="202.5"/>
    <n v="3.59"/>
    <n v="17.5"/>
    <d v="2011-05-18T00:00:00"/>
  </r>
  <r>
    <x v="22"/>
    <x v="120"/>
    <n v="39572"/>
    <n v="25635"/>
    <n v="14215"/>
    <n v="0.55451531109810803"/>
    <s v="POOR"/>
    <n v="3.4"/>
    <n v="185"/>
    <s v="Medium HP"/>
    <s v="Car"/>
    <n v="23"/>
    <n v="76.208439519999999"/>
    <n v="120"/>
    <n v="72.7"/>
    <n v="201.3"/>
    <n v="3.9420000000000002"/>
    <n v="25"/>
    <d v="2012-07-22T00:00:00"/>
  </r>
  <r>
    <x v="23"/>
    <x v="121"/>
    <n v="8982"/>
    <n v="41430"/>
    <n v="41250"/>
    <n v="0.99565532223026787"/>
    <s v="GOOD"/>
    <n v="2.7"/>
    <n v="217"/>
    <s v="Medium HP"/>
    <s v="Passenger"/>
    <n v="22"/>
    <n v="93.437330700000004"/>
    <n v="95.2"/>
    <n v="70.099999999999994"/>
    <n v="171"/>
    <n v="2.778"/>
    <n v="17"/>
    <d v="2012-02-19T00:00:00"/>
  </r>
  <r>
    <x v="23"/>
    <x v="122"/>
    <n v="1280"/>
    <n v="71020"/>
    <n v="60625"/>
    <n v="0.85363277949873273"/>
    <s v="GOOD"/>
    <n v="3.4"/>
    <n v="300"/>
    <s v="High HP"/>
    <s v="Passenger"/>
    <n v="21"/>
    <n v="134.3909754"/>
    <n v="92.6"/>
    <n v="69.5"/>
    <n v="174.5"/>
    <n v="3.032"/>
    <n v="17"/>
    <d v="2012-12-21T00:00:00"/>
  </r>
  <r>
    <x v="23"/>
    <x v="123"/>
    <n v="1866"/>
    <n v="74970"/>
    <n v="67550"/>
    <n v="0.90102707749766575"/>
    <s v="GOOD"/>
    <n v="3.4"/>
    <n v="300"/>
    <s v="High HP"/>
    <s v="Passenger"/>
    <n v="23"/>
    <n v="135.91470960000001"/>
    <n v="92.6"/>
    <n v="69.5"/>
    <n v="174.5"/>
    <n v="3.0750000000000002"/>
    <n v="17"/>
    <d v="2011-07-11T00:00:00"/>
  </r>
  <r>
    <x v="24"/>
    <x v="124"/>
    <n v="9191"/>
    <n v="33120"/>
    <n v="22789"/>
    <n v="0.68807367149758458"/>
    <s v="POOR"/>
    <n v="2.2999999999999998"/>
    <n v="170"/>
    <s v="Medium HP"/>
    <s v="Passenger"/>
    <n v="23"/>
    <n v="73.503778190000006"/>
    <n v="106.4"/>
    <n v="70.599999999999994"/>
    <n v="189.2"/>
    <n v="3.28"/>
    <n v="18.5"/>
    <d v="2012-11-09T00:00:00"/>
  </r>
  <r>
    <x v="24"/>
    <x v="125"/>
    <n v="12115"/>
    <n v="26100"/>
    <n v="18255"/>
    <n v="0.69942528735632181"/>
    <s v="GOOD"/>
    <n v="2"/>
    <n v="185"/>
    <s v="Medium HP"/>
    <s v="Passenger"/>
    <n v="23"/>
    <n v="76.02304771"/>
    <n v="102.6"/>
    <n v="67.400000000000006"/>
    <n v="182.2"/>
    <n v="2.99"/>
    <n v="16.899999999999999"/>
    <d v="2011-06-12T00:00:00"/>
  </r>
  <r>
    <x v="25"/>
    <x v="126"/>
    <n v="80620"/>
    <n v="10685"/>
    <n v="9200"/>
    <n v="0.86102012166588671"/>
    <s v="GOOD"/>
    <n v="1.9"/>
    <n v="100"/>
    <s v="Medium HP"/>
    <s v="Passenger"/>
    <n v="33"/>
    <n v="39.986424749999998"/>
    <n v="102.4"/>
    <n v="66.400000000000006"/>
    <n v="176.9"/>
    <n v="2.3319999999999999"/>
    <n v="12.1"/>
    <d v="2012-08-16T00:00:00"/>
  </r>
  <r>
    <x v="25"/>
    <x v="127"/>
    <n v="24546"/>
    <n v="12535"/>
    <n v="10590"/>
    <n v="0.84483446350219382"/>
    <s v="GOOD"/>
    <n v="1.9"/>
    <n v="100"/>
    <s v="Medium HP"/>
    <s v="Passenger"/>
    <n v="33"/>
    <n v="40.700072419999998"/>
    <n v="102.4"/>
    <n v="66.400000000000006"/>
    <n v="180"/>
    <n v="2.367"/>
    <n v="12.1"/>
    <d v="2011-03-16T00:00:00"/>
  </r>
  <r>
    <x v="25"/>
    <x v="128"/>
    <n v="5223"/>
    <n v="14290"/>
    <n v="10790"/>
    <n v="0.75507347795661306"/>
    <s v="GOOD"/>
    <n v="1.9"/>
    <n v="124"/>
    <s v="Medium HP"/>
    <s v="Passenger"/>
    <n v="31"/>
    <n v="49.865773670000003"/>
    <n v="102.4"/>
    <n v="66.400000000000006"/>
    <n v="176.9"/>
    <n v="2.452"/>
    <n v="12.1"/>
    <d v="2011-01-15T00:00:00"/>
  </r>
  <r>
    <x v="25"/>
    <x v="129"/>
    <n v="8472"/>
    <n v="18835"/>
    <n v="13700"/>
    <n v="0.72736925935757901"/>
    <s v="GOOD"/>
    <n v="2.2000000000000002"/>
    <n v="137"/>
    <s v="Medium HP"/>
    <s v="Passenger"/>
    <n v="27"/>
    <n v="56.295243040000003"/>
    <n v="106.5"/>
    <n v="69"/>
    <n v="190.4"/>
    <n v="3.0750000000000002"/>
    <n v="13.1"/>
    <d v="2011-08-05T00:00:00"/>
  </r>
  <r>
    <x v="25"/>
    <x v="130"/>
    <n v="49989"/>
    <n v="15010"/>
    <n v="9900"/>
    <n v="0.65956029313790809"/>
    <s v="POOR"/>
    <n v="2.2000000000000002"/>
    <n v="137"/>
    <s v="Medium HP"/>
    <s v="Passenger"/>
    <n v="28"/>
    <n v="54.819728249999997"/>
    <n v="106.5"/>
    <n v="69"/>
    <n v="190.4"/>
    <n v="2.91"/>
    <n v="13.1"/>
    <d v="2012-12-04T00:00:00"/>
  </r>
  <r>
    <x v="26"/>
    <x v="131"/>
    <n v="47107"/>
    <n v="22695"/>
    <n v="16770"/>
    <n v="0.73892927957699939"/>
    <s v="GOOD"/>
    <n v="2.5"/>
    <n v="165"/>
    <s v="Medium HP"/>
    <s v="Passenger"/>
    <n v="25"/>
    <n v="67.765907600000006"/>
    <n v="103.5"/>
    <n v="67.5"/>
    <n v="185.8"/>
    <n v="3.415"/>
    <n v="16.899999999999999"/>
    <d v="2011-07-07T00:00:00"/>
  </r>
  <r>
    <x v="26"/>
    <x v="132"/>
    <n v="33028"/>
    <n v="20095"/>
    <n v="14832"/>
    <n v="0.73809405324707644"/>
    <s v="GOOD"/>
    <n v="2.5"/>
    <n v="165"/>
    <s v="Medium HP"/>
    <s v="Car"/>
    <n v="24"/>
    <n v="66.762943309999997"/>
    <n v="99.4"/>
    <n v="68.3"/>
    <n v="175.2"/>
    <n v="3.125"/>
    <n v="15.9"/>
    <d v="2012-09-10T00:00:00"/>
  </r>
  <r>
    <x v="27"/>
    <x v="133"/>
    <n v="142535"/>
    <n v="13108"/>
    <n v="10025"/>
    <n v="0.76480012206286241"/>
    <s v="GOOD"/>
    <n v="1.8"/>
    <n v="120"/>
    <s v="Medium HP"/>
    <s v="Passenger"/>
    <n v="33"/>
    <n v="47.96897242"/>
    <n v="97"/>
    <n v="66.7"/>
    <n v="174"/>
    <n v="2.42"/>
    <n v="13.2"/>
    <d v="2011-04-11T00:00:00"/>
  </r>
  <r>
    <x v="27"/>
    <x v="134"/>
    <n v="247994"/>
    <n v="17518"/>
    <n v="13245"/>
    <n v="0.75607946112569924"/>
    <s v="GOOD"/>
    <n v="2.2000000000000002"/>
    <n v="133"/>
    <s v="Medium HP"/>
    <s v="Passenger"/>
    <n v="27"/>
    <n v="54.372419649999998"/>
    <n v="105.2"/>
    <n v="70.099999999999994"/>
    <n v="188.5"/>
    <n v="2.9980000000000002"/>
    <n v="18.5"/>
    <d v="2011-02-10T00:00:00"/>
  </r>
  <r>
    <x v="27"/>
    <x v="135"/>
    <n v="63849"/>
    <n v="25545"/>
    <n v="18140"/>
    <n v="0.71011939714229788"/>
    <s v="GOOD"/>
    <n v="3"/>
    <n v="210"/>
    <s v="Medium HP"/>
    <s v="Passenger"/>
    <n v="26"/>
    <n v="84.911898260000001"/>
    <n v="107.1"/>
    <n v="71.7"/>
    <n v="191.9"/>
    <n v="3.4169999999999998"/>
    <n v="18.5"/>
    <d v="2011-08-31T00:00:00"/>
  </r>
  <r>
    <x v="27"/>
    <x v="136"/>
    <n v="33269"/>
    <n v="16875"/>
    <n v="15445"/>
    <n v="0.91525925925925922"/>
    <s v="GOOD"/>
    <n v="1.8"/>
    <n v="140"/>
    <s v="Medium HP"/>
    <s v="Passenger"/>
    <n v="31"/>
    <n v="56.496030339999997"/>
    <n v="102.4"/>
    <n v="68.3"/>
    <n v="170.5"/>
    <n v="2.4249999999999998"/>
    <n v="14.5"/>
    <d v="2012-12-29T00:00:00"/>
  </r>
  <r>
    <x v="27"/>
    <x v="137"/>
    <n v="84087"/>
    <n v="11528"/>
    <n v="9575"/>
    <n v="0.83058639833448988"/>
    <s v="GOOD"/>
    <n v="2.4"/>
    <n v="142"/>
    <s v="Medium HP"/>
    <s v="Car"/>
    <n v="23"/>
    <n v="55.297116580000001"/>
    <n v="103.3"/>
    <n v="66.5"/>
    <n v="178.7"/>
    <n v="2.58"/>
    <n v="15.1"/>
    <d v="2011-08-01T00:00:00"/>
  </r>
  <r>
    <x v="27"/>
    <x v="138"/>
    <n v="65119"/>
    <n v="22368"/>
    <n v="18689"/>
    <n v="0.83552396280400576"/>
    <s v="GOOD"/>
    <n v="3"/>
    <n v="194"/>
    <s v="Medium HP"/>
    <s v="Car"/>
    <n v="22"/>
    <n v="78.027219470000006"/>
    <n v="114.2"/>
    <n v="73.400000000000006"/>
    <n v="193.5"/>
    <n v="3.7589999999999999"/>
    <n v="20.9"/>
    <d v="2012-10-05T00:00:00"/>
  </r>
  <r>
    <x v="27"/>
    <x v="139"/>
    <n v="25106"/>
    <n v="16888"/>
    <n v="13325"/>
    <n v="0.78902179062055899"/>
    <s v="GOOD"/>
    <n v="2"/>
    <n v="127"/>
    <s v="Medium HP"/>
    <s v="Car"/>
    <n v="27"/>
    <n v="51.955108869999997"/>
    <n v="94.9"/>
    <n v="66.7"/>
    <n v="163.80000000000001"/>
    <n v="2.6680000000000001"/>
    <n v="15.3"/>
    <d v="2011-05-06T00:00:00"/>
  </r>
  <r>
    <x v="27"/>
    <x v="140"/>
    <n v="68411"/>
    <n v="22288"/>
    <n v="19425"/>
    <n v="0.87154522613065322"/>
    <s v="GOOD"/>
    <n v="2.7"/>
    <n v="150"/>
    <s v="Medium HP"/>
    <s v="Car"/>
    <n v="23"/>
    <n v="62.35557713"/>
    <n v="105.3"/>
    <n v="66.5"/>
    <n v="183.3"/>
    <n v="3.44"/>
    <n v="18.5"/>
    <d v="2011-03-07T00:00:00"/>
  </r>
  <r>
    <x v="27"/>
    <x v="141"/>
    <n v="9835"/>
    <n v="51728"/>
    <n v="34080"/>
    <n v="0.65883080729972165"/>
    <s v="POOR"/>
    <n v="4.7"/>
    <n v="230"/>
    <s v="Medium HP"/>
    <s v="Car"/>
    <n v="15"/>
    <n v="102.5289842"/>
    <n v="112.2"/>
    <n v="76.400000000000006"/>
    <n v="192.5"/>
    <n v="5.1150000000000002"/>
    <n v="25.4"/>
    <d v="2011-09-25T00:00:00"/>
  </r>
  <r>
    <x v="28"/>
    <x v="142"/>
    <n v="9761"/>
    <n v="14900"/>
    <n v="11425"/>
    <n v="0.76677852348993292"/>
    <s v="GOOD"/>
    <n v="2"/>
    <n v="115"/>
    <s v="Medium HP"/>
    <s v="Passenger"/>
    <n v="26"/>
    <n v="46.943876760000002"/>
    <n v="98.9"/>
    <n v="68.3"/>
    <n v="163.30000000000001"/>
    <n v="2.7669999999999999"/>
    <n v="14.5"/>
    <d v="2011-01-24T00:00:00"/>
  </r>
  <r>
    <x v="28"/>
    <x v="143"/>
    <n v="83721"/>
    <n v="16700"/>
    <n v="13240"/>
    <n v="0.792814371257485"/>
    <s v="GOOD"/>
    <n v="2"/>
    <n v="115"/>
    <s v="Medium HP"/>
    <s v="Passenger"/>
    <n v="26"/>
    <n v="47.638236659999997"/>
    <n v="98.9"/>
    <n v="68.3"/>
    <n v="172.3"/>
    <n v="2.8530000000000002"/>
    <n v="14.5"/>
    <d v="2011-08-27T00:00:00"/>
  </r>
  <r>
    <x v="28"/>
    <x v="144"/>
    <n v="51102"/>
    <n v="21200"/>
    <n v="16725"/>
    <n v="0.78891509433962259"/>
    <s v="GOOD"/>
    <n v="1.8"/>
    <n v="150"/>
    <s v="Medium HP"/>
    <s v="Passenger"/>
    <n v="27"/>
    <n v="61.701381359999999"/>
    <n v="106.4"/>
    <n v="68.5"/>
    <n v="184.1"/>
    <n v="3.0430000000000001"/>
    <n v="16.399999999999999"/>
    <d v="2012-10-30T00:00:00"/>
  </r>
  <r>
    <x v="28"/>
    <x v="145"/>
    <n v="9569"/>
    <n v="19990"/>
    <n v="16575"/>
    <n v="0.82916458229114554"/>
    <s v="GOOD"/>
    <n v="2"/>
    <n v="115"/>
    <s v="Medium HP"/>
    <s v="Passenger"/>
    <n v="26"/>
    <n v="48.907372250000002"/>
    <n v="97.4"/>
    <n v="66.7"/>
    <n v="160.4"/>
    <n v="3.0790000000000002"/>
    <n v="13.7"/>
    <d v="2011-05-31T00:00:00"/>
  </r>
  <r>
    <x v="28"/>
    <x v="146"/>
    <n v="5596"/>
    <n v="17500"/>
    <n v="13760"/>
    <n v="0.78628571428571425"/>
    <s v="GOOD"/>
    <n v="2"/>
    <n v="115"/>
    <s v="Medium HP"/>
    <s v="Passenger"/>
    <n v="26"/>
    <n v="47.946841059999997"/>
    <n v="98.9"/>
    <n v="68.3"/>
    <n v="163.30000000000001"/>
    <n v="2.762"/>
    <n v="14.6"/>
    <d v="2011-04-01T00:00:00"/>
  </r>
  <r>
    <x v="28"/>
    <x v="147"/>
    <n v="49463"/>
    <n v="15900"/>
    <n v="11986"/>
    <n v="0.75383647798742137"/>
    <s v="GOOD"/>
    <n v="2"/>
    <n v="115"/>
    <s v="Medium HP"/>
    <s v="Passenger"/>
    <n v="26"/>
    <n v="47.329632259999997"/>
    <n v="98.9"/>
    <n v="67.900000000000006"/>
    <n v="161.1"/>
    <n v="2.7690000000000001"/>
    <n v="14.5"/>
    <d v="2011-10-20T00:00:00"/>
  </r>
  <r>
    <x v="29"/>
    <x v="148"/>
    <n v="16957"/>
    <n v="23400"/>
    <n v="14334"/>
    <n v="0.61256410256410254"/>
    <s v="POOR"/>
    <n v="1.9"/>
    <n v="160"/>
    <s v="Medium HP"/>
    <s v="Passenger"/>
    <n v="25"/>
    <n v="66.113056799999995"/>
    <n v="100.5"/>
    <n v="67.599999999999994"/>
    <n v="176.6"/>
    <n v="2.9980000000000002"/>
    <n v="15.8"/>
    <d v="2011-02-18T00:00:00"/>
  </r>
  <r>
    <x v="29"/>
    <x v="149"/>
    <n v="3545"/>
    <n v="24400"/>
    <n v="15252"/>
    <n v="0.62508196721311471"/>
    <s v="POOR"/>
    <n v="1.9"/>
    <n v="160"/>
    <s v="Medium HP"/>
    <s v="Passenger"/>
    <n v="25"/>
    <n v="66.498812299999997"/>
    <n v="100.5"/>
    <n v="67.599999999999994"/>
    <n v="176.6"/>
    <n v="3.0419999999999998"/>
    <n v="15.8"/>
    <d v="2011-09-21T00:00:00"/>
  </r>
  <r>
    <x v="29"/>
    <x v="150"/>
    <n v="15245"/>
    <n v="27500"/>
    <n v="18900"/>
    <n v="0.68727272727272726"/>
    <s v="POOR"/>
    <n v="2.4"/>
    <n v="168"/>
    <s v="Medium HP"/>
    <s v="Passenger"/>
    <n v="25"/>
    <n v="70.654495449999999"/>
    <n v="104.9"/>
    <n v="69.3"/>
    <n v="185.9"/>
    <n v="3.2080000000000002"/>
    <n v="17.899999999999999"/>
    <d v="2012-11-24T00:00:00"/>
  </r>
  <r>
    <x v="29"/>
    <x v="151"/>
    <n v="17531"/>
    <n v="28800"/>
    <n v="20223"/>
    <n v="0.70218749999999996"/>
    <s v="GOOD"/>
    <n v="2.4"/>
    <n v="168"/>
    <s v="Medium HP"/>
    <s v="Passenger"/>
    <n v="25"/>
    <n v="71.1559776"/>
    <n v="104.9"/>
    <n v="69.3"/>
    <n v="186.2"/>
    <n v="3.2589999999999999"/>
    <n v="17.899999999999999"/>
    <d v="2011-06-25T00:00:00"/>
  </r>
  <r>
    <x v="29"/>
    <x v="152"/>
    <n v="3493"/>
    <n v="45500"/>
    <n v="34175"/>
    <n v="0.75109890109890109"/>
    <s v="GOOD"/>
    <n v="2.2999999999999998"/>
    <n v="236"/>
    <s v="Medium HP"/>
    <s v="Passenger"/>
    <n v="23"/>
    <n v="101.6233572"/>
    <n v="104.9"/>
    <n v="71.5"/>
    <n v="185.7"/>
    <n v="3.601"/>
    <n v="18.5"/>
    <d v="2011-04-26T00:00:00"/>
  </r>
  <r>
    <x v="29"/>
    <x v="153"/>
    <n v="18969"/>
    <n v="36000"/>
    <n v="26403"/>
    <n v="0.73341666666666672"/>
    <s v="GOOD"/>
    <n v="2.9"/>
    <n v="201"/>
    <s v="Medium HP"/>
    <s v="Passenger"/>
    <n v="24"/>
    <n v="85.735654510000003"/>
    <n v="109.9"/>
    <n v="72.099999999999994"/>
    <n v="189.8"/>
    <n v="3.6"/>
    <n v="21.1"/>
    <d v="2011-11-14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40">
  <location ref="A3:B34" firstHeaderRow="1" firstDataRow="1" firstDataCol="1"/>
  <pivotFields count="20">
    <pivotField axis="axisRow" showAll="0">
      <items count="3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8"/>
        <item sd="0" x="17"/>
        <item sd="0" x="16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t="default" sd="0"/>
      </items>
    </pivotField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numFmtId="1" showAll="0"/>
    <pivotField numFmtId="165" showAll="0"/>
    <pivotField numFmtId="165" showAll="0"/>
    <pivotField dataField="1"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ragToRow="0" dragToCol="0" dragToPage="0" showAll="0" defaultSubtotal="0"/>
  </pivotFields>
  <rowFields count="2">
    <field x="0"/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Retention %" fld="5" subtotal="average" baseField="0" baseItem="0" numFmtId="9"/>
  </dataFields>
  <formats count="3">
    <format dxfId="78">
      <pivotArea collapsedLevelsAreSubtotals="1" fieldPosition="0">
        <references count="2">
          <reference field="0" count="1" selected="0">
            <x v="27"/>
          </reference>
          <reference field="1" count="1">
            <x v="4"/>
          </reference>
        </references>
      </pivotArea>
    </format>
    <format dxfId="77">
      <pivotArea outline="0" collapsedLevelsAreSubtotals="1" fieldPosition="0"/>
    </format>
    <format dxfId="76">
      <pivotArea dataOnly="0" labelOnly="1" outline="0" axis="axisValues" fieldPosition="0"/>
    </format>
  </format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8">
  <location ref="A3:C34" firstHeaderRow="0" firstDataRow="1" firstDataCol="1"/>
  <pivotFields count="20">
    <pivotField axis="axisRow" showAll="0">
      <items count="3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8"/>
        <item sd="0" x="17"/>
        <item sd="0" x="16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t="default" sd="0"/>
      </items>
    </pivotField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numFmtId="1" showAll="0"/>
    <pivotField dataField="1" numFmtId="165" showAll="0"/>
    <pivotField dataField="1" numFmtId="165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ragToRow="0" dragToCol="0" dragToPage="0" showAll="0" defaultSubtotal="0"/>
  </pivotFields>
  <rowFields count="2">
    <field x="0"/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4" subtotal="average" baseField="0" baseItem="0" numFmtId="167"/>
    <dataField name="Average of Price" fld="3" subtotal="average" baseField="0" baseItem="78" numFmtId="167"/>
  </dataFields>
  <formats count="4">
    <format dxfId="7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6CB98-B939-40C0-85AF-5B8A20892A0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8">
  <location ref="A3:C34" firstHeaderRow="0" firstDataRow="1" firstDataCol="1"/>
  <pivotFields count="20">
    <pivotField axis="axisRow" showAll="0">
      <items count="3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8"/>
        <item sd="0" x="17"/>
        <item sd="0" x="16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t="default" sd="0"/>
      </items>
    </pivotField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numFmtId="1" showAll="0"/>
    <pivotField dataField="1" numFmtId="165" showAll="0"/>
    <pivotField dataField="1" numFmtId="165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dragToRow="0" dragToCol="0" dragToPage="0" showAll="0" defaultSubtotal="0"/>
  </pivotFields>
  <rowFields count="2">
    <field x="0"/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4" subtotal="average" baseField="0" baseItem="0" numFmtId="167"/>
    <dataField name="Average of Price" fld="3" subtotal="average" baseField="0" baseItem="78" numFmtId="167"/>
  </dataFields>
  <formats count="4">
    <format dxfId="1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71" headerRowCellStyle="60% - Accent1">
  <autoFilter ref="A1:S156" xr:uid="{142A1155-8F99-4580-8274-3FFCD265F860}"/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70" dataCellStyle="60% - Accent2"/>
    <tableColumn id="1" xr3:uid="{91732ACF-B59B-4736-A06E-BE7ADB4669C2}" name="Model" dataDxfId="69" dataCellStyle="60% - Accent6"/>
    <tableColumn id="4" xr3:uid="{AC38EB39-9FE7-4815-9A95-BD4739621249}" name="Unit Sales" dataDxfId="68"/>
    <tableColumn id="5" xr3:uid="{48155666-2FFE-4435-98FA-77A71F62A4CD}" name="Price" dataDxfId="67"/>
    <tableColumn id="6" xr3:uid="{E6C9B305-43C4-4AA9-AF99-52F226A2A489}" name="Year Resale Value" dataDxfId="66"/>
    <tableColumn id="7" xr3:uid="{53AB75B2-B4C7-4B08-A310-E333B5D08F1E}" name="Retention %" dataDxfId="65" dataCellStyle="Percent">
      <calculatedColumnFormula>SUM(E2/D2)</calculatedColumnFormula>
    </tableColumn>
    <tableColumn id="8" xr3:uid="{14C0ED08-C800-44FC-AEFF-AD4CB3BA4CE3}" name="Retention Value" dataDxfId="64" dataCellStyle="Percent">
      <calculatedColumnFormula>IF(F2&gt;70%, "GOOD", "POOR")</calculatedColumnFormula>
    </tableColumn>
    <tableColumn id="9" xr3:uid="{2D1C7A45-6CF4-4F66-812C-40A50CEEFE3C}" name="Engine Size" dataDxfId="63"/>
    <tableColumn id="10" xr3:uid="{6F868495-C5F3-4EB0-A931-7DB5EE263B04}" name="Horsepower" dataDxfId="62"/>
    <tableColumn id="11" xr3:uid="{21D8283C-331B-4FBC-ADCB-511EC8FEEA5B}" name="HP Level" dataDxfId="61">
      <calculatedColumnFormula array="1">_xlfn.IFS(I2&gt;299,"High HP",I2&gt;99,"Medium HP",I2&lt;100,"Low HP")</calculatedColumnFormula>
    </tableColumn>
    <tableColumn id="3" xr3:uid="{D8DD2294-3DBB-4222-BDE1-25B41E8C6E23}" name="Vehicle_type" dataDxfId="60"/>
    <tableColumn id="17" xr3:uid="{41974CDD-17C2-4811-8CA1-4FE62EF36874}" name="Fuel Efficiency" dataDxfId="59"/>
    <tableColumn id="19" xr3:uid="{FF974689-EC10-4BD7-931E-F6D2FC8A04BB}" name="Power Perf Factor" dataDxfId="58"/>
    <tableColumn id="16" xr3:uid="{A47D6D7B-55BF-4939-8425-7A7DC0E408AE}" name="Fuel Capacity" dataDxfId="57"/>
    <tableColumn id="12" xr3:uid="{59E0B2CA-E73A-4CDD-A62F-F1A4C75E90F7}" name="Wheelbase" dataDxfId="56"/>
    <tableColumn id="13" xr3:uid="{1318511A-327E-4603-9CFA-8A67BC21BEB8}" name="Width" dataDxfId="55"/>
    <tableColumn id="14" xr3:uid="{B48108FE-8EF4-43AB-ACEA-F7B30A9D3C55}" name="Length" dataDxfId="54"/>
    <tableColumn id="15" xr3:uid="{1C70CD07-6AE4-4D29-95C6-1D02DF8772F3}" name="Curb Weight" dataDxfId="53"/>
    <tableColumn id="18" xr3:uid="{801588FA-173B-403F-BAF7-D1F66FFF62EA}" name="Latest Launch" dataDxfId="5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51" headerRowCellStyle="60% - Accent1">
  <autoFilter ref="A1:S156" xr:uid="{142A1155-8F99-4580-8274-3FFCD265F860}"/>
  <tableColumns count="19">
    <tableColumn id="2" xr3:uid="{5BFF9CA1-D18F-48F8-B139-C94FCAB0E175}" name="Manufacturer" dataDxfId="50" dataCellStyle="60% - Accent2"/>
    <tableColumn id="1" xr3:uid="{43B3A4A3-6CC5-4B1F-9BA5-697A4F09A487}" name="Model" dataDxfId="49" dataCellStyle="60% - Accent6"/>
    <tableColumn id="19" xr3:uid="{5B90FD03-F436-4395-9630-5BC3AE66755A}" name="Power Perf Factor" dataDxfId="48" dataCellStyle="60% - Accent6"/>
    <tableColumn id="4" xr3:uid="{2F98F040-7842-4713-AEFE-12CD948B81ED}" name="Unit Sales" dataDxfId="47"/>
    <tableColumn id="5" xr3:uid="{6A58B398-9B8D-495F-8939-B398B67C09F9}" name="Price" dataDxfId="46"/>
    <tableColumn id="6" xr3:uid="{CFBD5404-82BE-457B-8590-AD11A6B7EF8F}" name="Year Resale Value" dataDxfId="45"/>
    <tableColumn id="7" xr3:uid="{7684E2FD-1B7C-4F58-8E02-AB765C88FB13}" name="Retention %" dataDxfId="44" dataCellStyle="Percent">
      <calculatedColumnFormula>SUM(F2/E2)</calculatedColumnFormula>
    </tableColumn>
    <tableColumn id="8" xr3:uid="{4F26BE56-C2D9-44F3-86FD-D2945E0358C0}" name="Retention Value" dataDxfId="43" dataCellStyle="Percent">
      <calculatedColumnFormula>IF(G2&gt;69%, "GOOD", "POOR")</calculatedColumnFormula>
    </tableColumn>
    <tableColumn id="9" xr3:uid="{E2821A61-E719-4923-891A-BCFDE42F66D0}" name="Engine Size" dataDxfId="42"/>
    <tableColumn id="10" xr3:uid="{16623E42-D7B5-47C4-B7B5-265380D2ACB5}" name="Horsepower" dataDxfId="41"/>
    <tableColumn id="11" xr3:uid="{D6BC5B95-B4B5-4D2C-B442-659931E923AB}" name="HP Level" dataDxfId="40">
      <calculatedColumnFormula array="1">_xlfn.IFS(J2&gt;299,"High HP",J2&gt;99,"Medium HP",J2&lt;100,"Low HP")</calculatedColumnFormula>
    </tableColumn>
    <tableColumn id="3" xr3:uid="{D89FC93A-602D-4147-B5D8-052BD3AAEFA9}" name="Vehicle_type" dataDxfId="39"/>
    <tableColumn id="17" xr3:uid="{09BC724F-FE73-4569-B3C5-F0F8A6DB4C85}" name="Fuel Efficiency" dataDxfId="38" dataCellStyle="60% - Accent6"/>
    <tableColumn id="12" xr3:uid="{55924A29-F156-4CD0-8425-CED32C98068B}" name="Wheelbase" dataDxfId="37"/>
    <tableColumn id="13" xr3:uid="{56DEB4B4-962C-464A-8CF0-5AF892D29D15}" name="Width" dataDxfId="36"/>
    <tableColumn id="14" xr3:uid="{1EDAA041-E793-4BBE-B154-A3806B225DA4}" name="Length" dataDxfId="35"/>
    <tableColumn id="15" xr3:uid="{8B517A00-9F46-45B8-851E-0C41E81C7F5A}" name="Curb Weight" dataDxfId="34"/>
    <tableColumn id="16" xr3:uid="{C0D2D5B9-1522-4D17-A522-05AF3FA10469}" name="Fuel Capacity" dataDxfId="33"/>
    <tableColumn id="18" xr3:uid="{8890314F-1652-4E10-ABA4-284B9415484A}" name="Latest Launch" dataDxfId="32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31" headerRowCellStyle="60% - Accent1">
  <autoFilter ref="A1:S156" xr:uid="{142A1155-8F99-4580-8274-3FFCD265F860}"/>
  <tableColumns count="19">
    <tableColumn id="2" xr3:uid="{0090DD31-AAEF-418B-A6D5-5A47F973884A}" name="Manufacturer" dataDxfId="30" dataCellStyle="60% - Accent2"/>
    <tableColumn id="1" xr3:uid="{1D457C4B-D2B8-4760-9FBD-20980339C812}" name="Model" dataDxfId="29" dataCellStyle="60% - Accent6"/>
    <tableColumn id="4" xr3:uid="{8522711B-6353-4D72-9921-4036DEB24699}" name="Unit Sales" dataDxfId="28"/>
    <tableColumn id="5" xr3:uid="{3F2EFF05-CEC1-43C4-8457-EC0A04BFE37D}" name="Price" dataDxfId="27"/>
    <tableColumn id="6" xr3:uid="{D0C7E9A3-6A78-4834-995F-71A07F7E5FEC}" name="Year Resale Value" dataDxfId="26"/>
    <tableColumn id="7" xr3:uid="{2892AE5C-2583-41F9-9297-9EA4C2895B5F}" name="Retention %" dataDxfId="25" dataCellStyle="Percent">
      <calculatedColumnFormula>SUM(E2/D2)</calculatedColumnFormula>
    </tableColumn>
    <tableColumn id="8" xr3:uid="{40A7E790-705B-474C-BD5E-B93CFDEAAD37}" name="Retention Value" dataDxfId="24" dataCellStyle="Percent">
      <calculatedColumnFormula>IF(F2&gt;69%, "GOOD", "POOR")</calculatedColumnFormula>
    </tableColumn>
    <tableColumn id="9" xr3:uid="{9FD1D782-0EB9-4AC8-9FB6-1F5437BC6100}" name="Engine Size" dataDxfId="23"/>
    <tableColumn id="10" xr3:uid="{97F7DE8D-9589-426B-AA4F-2E3F8BB7A81B}" name="Horsepower" dataDxfId="22"/>
    <tableColumn id="11" xr3:uid="{4CB9C68E-A6F1-497A-9877-E41495059145}" name="HP Level" dataDxfId="21">
      <calculatedColumnFormula array="1">_xlfn.IFS(I2&gt;299,"High HP",I2&gt;99,"Medium HP",I2&lt;100,"Low HP")</calculatedColumnFormula>
    </tableColumn>
    <tableColumn id="3" xr3:uid="{3733B2DD-D65D-439A-9EC2-28F65DC369D7}" name="Vehicle_type" dataDxfId="20"/>
    <tableColumn id="17" xr3:uid="{5136D0F0-2F8F-4D70-995F-CE39B1996127}" name="Fuel Efficiency" dataDxfId="19"/>
    <tableColumn id="19" xr3:uid="{5F133F36-F1C6-453A-A10C-A9917A623804}" name="Power Perf Factor" dataDxfId="18"/>
    <tableColumn id="12" xr3:uid="{6E551230-1170-40DA-8649-BDDA922271D8}" name="Wheelbase" dataDxfId="17"/>
    <tableColumn id="13" xr3:uid="{53A36FF3-E823-43B4-958B-9E02EC2B56F7}" name="Width" dataDxfId="16"/>
    <tableColumn id="14" xr3:uid="{0728B768-EB40-4E54-9F8B-8FC310D3272C}" name="Length" dataDxfId="15"/>
    <tableColumn id="15" xr3:uid="{2264EB11-0818-4B2A-A027-42B066FA9869}" name="Curb Weight" dataDxfId="14"/>
    <tableColumn id="16" xr3:uid="{58B24934-BE7E-4FBD-9F96-CEF0725C6117}" name="Fuel Capacity" dataDxfId="13"/>
    <tableColumn id="18" xr3:uid="{00FF364F-DDBE-4E2C-8F3E-DBDA321FA22A}" name="Latest Launch" dataDxfId="1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1:G43"/>
  <sheetViews>
    <sheetView workbookViewId="0">
      <selection activeCell="K18" sqref="K18"/>
    </sheetView>
  </sheetViews>
  <sheetFormatPr defaultColWidth="8.85546875" defaultRowHeight="15" x14ac:dyDescent="0.25"/>
  <cols>
    <col min="1" max="1" width="13.5703125" bestFit="1" customWidth="1"/>
    <col min="2" max="2" width="22.28515625" style="17" bestFit="1" customWidth="1"/>
    <col min="3" max="3" width="26.140625" bestFit="1" customWidth="1"/>
    <col min="4" max="4" width="12.28515625" bestFit="1" customWidth="1"/>
    <col min="5" max="5" width="20.7109375" customWidth="1"/>
    <col min="6" max="6" width="12.28515625" bestFit="1" customWidth="1"/>
    <col min="7" max="7" width="11" customWidth="1"/>
    <col min="8" max="135" width="6" bestFit="1" customWidth="1"/>
    <col min="136" max="156" width="7" bestFit="1" customWidth="1"/>
    <col min="157" max="157" width="11.28515625" bestFit="1" customWidth="1"/>
  </cols>
  <sheetData>
    <row r="1" spans="1:7" ht="15.75" thickBot="1" x14ac:dyDescent="0.3">
      <c r="D1" s="38"/>
      <c r="E1" s="42"/>
      <c r="F1" s="40" t="s">
        <v>36</v>
      </c>
      <c r="G1" s="21" t="s">
        <v>38</v>
      </c>
    </row>
    <row r="2" spans="1:7" x14ac:dyDescent="0.25">
      <c r="D2" s="39"/>
      <c r="E2" s="24"/>
      <c r="F2" s="41" t="s">
        <v>54</v>
      </c>
      <c r="G2" s="22">
        <v>21500</v>
      </c>
    </row>
    <row r="3" spans="1:7" x14ac:dyDescent="0.25">
      <c r="A3" s="15" t="s">
        <v>0</v>
      </c>
      <c r="B3" s="17" t="s">
        <v>1</v>
      </c>
      <c r="D3" s="39"/>
      <c r="E3" s="24"/>
      <c r="F3" s="41" t="s">
        <v>56</v>
      </c>
      <c r="G3" s="11">
        <v>28400</v>
      </c>
    </row>
    <row r="4" spans="1:7" x14ac:dyDescent="0.25">
      <c r="A4" s="16" t="s">
        <v>2</v>
      </c>
      <c r="B4" s="17">
        <v>0.72283075715273559</v>
      </c>
      <c r="D4" s="39"/>
      <c r="E4" s="24"/>
      <c r="F4" s="41" t="s">
        <v>57</v>
      </c>
      <c r="G4" s="22">
        <v>42000</v>
      </c>
    </row>
    <row r="5" spans="1:7" x14ac:dyDescent="0.25">
      <c r="A5" s="16" t="s">
        <v>3</v>
      </c>
      <c r="B5" s="17">
        <v>0.75017496343463141</v>
      </c>
      <c r="D5" s="39"/>
      <c r="E5" s="24"/>
      <c r="F5" s="41" t="s">
        <v>58</v>
      </c>
      <c r="G5" s="11">
        <v>23990</v>
      </c>
    </row>
    <row r="6" spans="1:7" x14ac:dyDescent="0.25">
      <c r="A6" s="16" t="s">
        <v>4</v>
      </c>
      <c r="B6" s="17">
        <v>0.89831326065008865</v>
      </c>
      <c r="D6" s="39"/>
      <c r="E6" s="24"/>
      <c r="F6" s="41" t="s">
        <v>59</v>
      </c>
      <c r="G6" s="22">
        <v>33950</v>
      </c>
    </row>
    <row r="7" spans="1:7" x14ac:dyDescent="0.25">
      <c r="A7" s="16" t="s">
        <v>5</v>
      </c>
      <c r="B7" s="17">
        <v>0.55537813446542739</v>
      </c>
      <c r="D7" s="39"/>
      <c r="E7" s="24"/>
      <c r="F7" s="41" t="s">
        <v>60</v>
      </c>
      <c r="G7" s="11">
        <v>62000</v>
      </c>
    </row>
    <row r="8" spans="1:7" x14ac:dyDescent="0.25">
      <c r="A8" s="16" t="s">
        <v>6</v>
      </c>
      <c r="B8" s="17">
        <v>0.61722828360562432</v>
      </c>
      <c r="D8" s="39"/>
      <c r="E8" s="24"/>
      <c r="F8" s="41" t="s">
        <v>61</v>
      </c>
      <c r="G8" s="22">
        <v>26990</v>
      </c>
    </row>
    <row r="9" spans="1:7" x14ac:dyDescent="0.25">
      <c r="A9" s="16" t="s">
        <v>7</v>
      </c>
      <c r="B9" s="17">
        <v>0.61398662152068761</v>
      </c>
      <c r="D9" s="39"/>
      <c r="E9" s="24"/>
      <c r="F9" s="41" t="s">
        <v>62</v>
      </c>
      <c r="G9" s="11">
        <v>33400</v>
      </c>
    </row>
    <row r="10" spans="1:7" x14ac:dyDescent="0.25">
      <c r="A10" s="16" t="s">
        <v>8</v>
      </c>
      <c r="B10" s="17">
        <v>0.63808410014071748</v>
      </c>
      <c r="D10" s="39"/>
      <c r="E10" s="24"/>
      <c r="F10" s="41" t="s">
        <v>63</v>
      </c>
      <c r="G10" s="22">
        <v>38900</v>
      </c>
    </row>
    <row r="11" spans="1:7" x14ac:dyDescent="0.25">
      <c r="A11" s="16" t="s">
        <v>9</v>
      </c>
      <c r="B11" s="17">
        <v>0.6796460302270696</v>
      </c>
      <c r="D11" s="39"/>
      <c r="E11" s="24"/>
      <c r="F11" s="41" t="s">
        <v>64</v>
      </c>
      <c r="G11" s="11">
        <v>21975</v>
      </c>
    </row>
    <row r="12" spans="1:7" x14ac:dyDescent="0.25">
      <c r="A12" s="16" t="s">
        <v>10</v>
      </c>
      <c r="B12" s="17">
        <v>0.60292248413258964</v>
      </c>
      <c r="D12" s="39"/>
      <c r="E12" s="24"/>
      <c r="F12" s="41" t="s">
        <v>65</v>
      </c>
      <c r="G12" s="22">
        <v>25300</v>
      </c>
    </row>
    <row r="13" spans="1:7" x14ac:dyDescent="0.25">
      <c r="A13" s="16" t="s">
        <v>11</v>
      </c>
      <c r="B13" s="17">
        <v>0.77905831386241053</v>
      </c>
      <c r="D13" s="39"/>
      <c r="E13" s="24"/>
      <c r="F13" s="41" t="s">
        <v>66</v>
      </c>
      <c r="G13" s="11">
        <v>31965</v>
      </c>
    </row>
    <row r="14" spans="1:7" x14ac:dyDescent="0.25">
      <c r="A14" s="16" t="s">
        <v>12</v>
      </c>
      <c r="B14" s="17">
        <v>0.62047246570387882</v>
      </c>
      <c r="D14" s="39"/>
      <c r="E14" s="24"/>
      <c r="F14" s="41" t="s">
        <v>67</v>
      </c>
      <c r="G14" s="22">
        <v>27885</v>
      </c>
    </row>
    <row r="15" spans="1:7" x14ac:dyDescent="0.25">
      <c r="A15" s="16" t="s">
        <v>13</v>
      </c>
      <c r="B15" s="17">
        <v>0.66825046665535381</v>
      </c>
      <c r="D15" s="39"/>
      <c r="E15" s="24"/>
      <c r="F15" s="41" t="s">
        <v>68</v>
      </c>
      <c r="G15" s="11">
        <v>39895</v>
      </c>
    </row>
    <row r="16" spans="1:7" x14ac:dyDescent="0.25">
      <c r="A16" s="16" t="s">
        <v>14</v>
      </c>
      <c r="B16" s="17">
        <v>0.77614485981308412</v>
      </c>
      <c r="D16" s="39"/>
      <c r="E16" s="24"/>
      <c r="F16" s="41" t="s">
        <v>69</v>
      </c>
      <c r="G16" s="22">
        <v>44475</v>
      </c>
    </row>
    <row r="17" spans="1:7" x14ac:dyDescent="0.25">
      <c r="A17" s="16" t="s">
        <v>15</v>
      </c>
      <c r="B17" s="17">
        <v>0.75613636328610434</v>
      </c>
      <c r="D17" s="39"/>
      <c r="E17" s="24"/>
      <c r="F17" s="41" t="s">
        <v>70</v>
      </c>
      <c r="G17" s="11">
        <v>39665</v>
      </c>
    </row>
    <row r="18" spans="1:7" x14ac:dyDescent="0.25">
      <c r="A18" s="16" t="s">
        <v>16</v>
      </c>
      <c r="B18" s="17">
        <v>0.81091600903068206</v>
      </c>
      <c r="D18" s="39"/>
      <c r="E18" s="24"/>
      <c r="F18" s="41" t="s">
        <v>71</v>
      </c>
      <c r="G18" s="22">
        <v>31010</v>
      </c>
    </row>
    <row r="19" spans="1:7" x14ac:dyDescent="0.25">
      <c r="A19" s="16" t="s">
        <v>17</v>
      </c>
      <c r="B19" s="17">
        <v>0.50444839109240924</v>
      </c>
      <c r="D19" s="39"/>
      <c r="E19" s="24"/>
      <c r="F19" s="41" t="s">
        <v>72</v>
      </c>
      <c r="G19" s="11">
        <v>46225</v>
      </c>
    </row>
    <row r="20" spans="1:7" x14ac:dyDescent="0.25">
      <c r="A20" s="16" t="s">
        <v>18</v>
      </c>
      <c r="B20" s="17">
        <v>0.76365249235079324</v>
      </c>
      <c r="D20" s="39"/>
      <c r="E20" s="24"/>
      <c r="F20" s="41" t="s">
        <v>74</v>
      </c>
      <c r="G20" s="23">
        <v>13260</v>
      </c>
    </row>
    <row r="21" spans="1:7" x14ac:dyDescent="0.25">
      <c r="A21" s="16" t="s">
        <v>19</v>
      </c>
      <c r="B21" s="17">
        <v>0.66961809678652795</v>
      </c>
      <c r="E21" s="24"/>
      <c r="G21" s="24"/>
    </row>
    <row r="22" spans="1:7" x14ac:dyDescent="0.25">
      <c r="A22" s="16" t="s">
        <v>20</v>
      </c>
      <c r="B22" s="17">
        <v>0.63638127454547899</v>
      </c>
    </row>
    <row r="23" spans="1:7" x14ac:dyDescent="0.25">
      <c r="A23" s="16" t="s">
        <v>21</v>
      </c>
      <c r="B23" s="17">
        <v>0.58818618467041606</v>
      </c>
    </row>
    <row r="24" spans="1:7" x14ac:dyDescent="0.25">
      <c r="A24" s="16" t="s">
        <v>22</v>
      </c>
      <c r="B24" s="17">
        <v>0.62260326868233029</v>
      </c>
    </row>
    <row r="25" spans="1:7" x14ac:dyDescent="0.25">
      <c r="A25" s="16" t="s">
        <v>23</v>
      </c>
      <c r="B25" s="17">
        <v>0.64207103101350915</v>
      </c>
    </row>
    <row r="26" spans="1:7" x14ac:dyDescent="0.25">
      <c r="A26" s="16" t="s">
        <v>24</v>
      </c>
      <c r="B26" s="17">
        <v>0.6035529991311378</v>
      </c>
    </row>
    <row r="27" spans="1:7" x14ac:dyDescent="0.25">
      <c r="A27" s="16" t="s">
        <v>25</v>
      </c>
      <c r="B27" s="17">
        <v>0.91677172640888882</v>
      </c>
    </row>
    <row r="28" spans="1:7" x14ac:dyDescent="0.25">
      <c r="A28" s="16" t="s">
        <v>26</v>
      </c>
      <c r="B28" s="17">
        <v>0.6937494794269532</v>
      </c>
    </row>
    <row r="29" spans="1:7" x14ac:dyDescent="0.25">
      <c r="A29" s="16" t="s">
        <v>27</v>
      </c>
      <c r="B29" s="17">
        <v>0.76957152312403621</v>
      </c>
    </row>
    <row r="30" spans="1:7" x14ac:dyDescent="0.25">
      <c r="A30" s="16" t="s">
        <v>28</v>
      </c>
      <c r="B30" s="17">
        <v>0.73851166641203791</v>
      </c>
    </row>
    <row r="31" spans="1:7" x14ac:dyDescent="0.25">
      <c r="A31" s="16" t="s">
        <v>29</v>
      </c>
      <c r="B31" s="17">
        <v>0.79241849164217204</v>
      </c>
    </row>
    <row r="32" spans="1:7" x14ac:dyDescent="0.25">
      <c r="A32" s="16" t="s">
        <v>30</v>
      </c>
      <c r="B32" s="17">
        <v>0.78629912727522022</v>
      </c>
    </row>
    <row r="33" spans="1:2" x14ac:dyDescent="0.25">
      <c r="A33" s="16" t="s">
        <v>31</v>
      </c>
      <c r="B33" s="17">
        <v>0.68527031080258538</v>
      </c>
    </row>
    <row r="34" spans="1:2" x14ac:dyDescent="0.25">
      <c r="A34" s="16" t="s">
        <v>32</v>
      </c>
      <c r="B34" s="17">
        <v>0.68738229973802756</v>
      </c>
    </row>
    <row r="35" spans="1:2" x14ac:dyDescent="0.25">
      <c r="B35"/>
    </row>
    <row r="36" spans="1:2" x14ac:dyDescent="0.25">
      <c r="B36"/>
    </row>
    <row r="37" spans="1:2" x14ac:dyDescent="0.25">
      <c r="B37"/>
    </row>
    <row r="38" spans="1:2" x14ac:dyDescent="0.25">
      <c r="B38"/>
    </row>
    <row r="39" spans="1:2" x14ac:dyDescent="0.25">
      <c r="B39"/>
    </row>
    <row r="40" spans="1:2" x14ac:dyDescent="0.25">
      <c r="B40"/>
    </row>
    <row r="41" spans="1:2" x14ac:dyDescent="0.25">
      <c r="B41"/>
    </row>
    <row r="42" spans="1:2" x14ac:dyDescent="0.25">
      <c r="B42"/>
    </row>
    <row r="43" spans="1:2" x14ac:dyDescent="0.25">
      <c r="B43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3F2B-E722-4CA5-9E65-C450E62BBC6F}">
  <dimension ref="A1:B25"/>
  <sheetViews>
    <sheetView workbookViewId="0">
      <selection activeCell="M15" sqref="M15"/>
    </sheetView>
  </sheetViews>
  <sheetFormatPr defaultRowHeight="15" x14ac:dyDescent="0.25"/>
  <cols>
    <col min="1" max="1" width="15.7109375" customWidth="1"/>
    <col min="2" max="2" width="18.140625" customWidth="1"/>
  </cols>
  <sheetData>
    <row r="1" spans="1:2" ht="15.75" thickBot="1" x14ac:dyDescent="0.3">
      <c r="A1" s="19" t="s">
        <v>36</v>
      </c>
      <c r="B1" s="19" t="s">
        <v>37</v>
      </c>
    </row>
    <row r="2" spans="1:2" x14ac:dyDescent="0.25">
      <c r="A2" s="20" t="s">
        <v>54</v>
      </c>
      <c r="B2" s="25">
        <v>16919</v>
      </c>
    </row>
    <row r="3" spans="1:2" x14ac:dyDescent="0.25">
      <c r="A3" s="20" t="s">
        <v>56</v>
      </c>
      <c r="B3" s="10">
        <v>39384</v>
      </c>
    </row>
    <row r="4" spans="1:2" x14ac:dyDescent="0.25">
      <c r="A4" s="20" t="s">
        <v>57</v>
      </c>
      <c r="B4" s="25">
        <v>8588</v>
      </c>
    </row>
    <row r="5" spans="1:2" x14ac:dyDescent="0.25">
      <c r="A5" s="20" t="s">
        <v>58</v>
      </c>
      <c r="B5" s="10">
        <v>20397</v>
      </c>
    </row>
    <row r="6" spans="1:2" x14ac:dyDescent="0.25">
      <c r="A6" s="20" t="s">
        <v>59</v>
      </c>
      <c r="B6" s="25">
        <v>18780</v>
      </c>
    </row>
    <row r="7" spans="1:2" x14ac:dyDescent="0.25">
      <c r="A7" s="20" t="s">
        <v>60</v>
      </c>
      <c r="B7" s="10">
        <v>1380</v>
      </c>
    </row>
    <row r="8" spans="1:2" x14ac:dyDescent="0.25">
      <c r="A8" s="20" t="s">
        <v>61</v>
      </c>
      <c r="B8" s="25">
        <v>19747</v>
      </c>
    </row>
    <row r="9" spans="1:2" x14ac:dyDescent="0.25">
      <c r="A9" s="20" t="s">
        <v>62</v>
      </c>
      <c r="B9" s="10">
        <v>9231</v>
      </c>
    </row>
    <row r="10" spans="1:2" x14ac:dyDescent="0.25">
      <c r="A10" s="20" t="s">
        <v>63</v>
      </c>
      <c r="B10" s="25">
        <v>17527</v>
      </c>
    </row>
    <row r="11" spans="1:2" x14ac:dyDescent="0.25">
      <c r="A11" s="20" t="s">
        <v>64</v>
      </c>
      <c r="B11" s="10">
        <v>91561</v>
      </c>
    </row>
    <row r="12" spans="1:2" x14ac:dyDescent="0.25">
      <c r="A12" s="20" t="s">
        <v>65</v>
      </c>
      <c r="B12" s="25">
        <v>39350</v>
      </c>
    </row>
    <row r="13" spans="1:2" x14ac:dyDescent="0.25">
      <c r="A13" s="20" t="s">
        <v>66</v>
      </c>
      <c r="B13" s="10">
        <v>27851</v>
      </c>
    </row>
    <row r="14" spans="1:2" x14ac:dyDescent="0.25">
      <c r="A14" s="20" t="s">
        <v>67</v>
      </c>
      <c r="B14" s="25">
        <v>83257</v>
      </c>
    </row>
    <row r="15" spans="1:2" x14ac:dyDescent="0.25">
      <c r="A15" s="20" t="s">
        <v>68</v>
      </c>
      <c r="B15" s="10">
        <v>63729</v>
      </c>
    </row>
    <row r="16" spans="1:2" x14ac:dyDescent="0.25">
      <c r="A16" s="20" t="s">
        <v>69</v>
      </c>
      <c r="B16" s="25">
        <v>15943</v>
      </c>
    </row>
    <row r="17" spans="1:2" x14ac:dyDescent="0.25">
      <c r="A17" s="20" t="s">
        <v>70</v>
      </c>
      <c r="B17" s="10">
        <v>6536</v>
      </c>
    </row>
    <row r="18" spans="1:2" x14ac:dyDescent="0.25">
      <c r="A18" s="20" t="s">
        <v>71</v>
      </c>
      <c r="B18" s="25">
        <v>11185</v>
      </c>
    </row>
    <row r="19" spans="1:2" x14ac:dyDescent="0.25">
      <c r="A19" s="20" t="s">
        <v>79</v>
      </c>
      <c r="B19" s="10">
        <v>14785</v>
      </c>
    </row>
    <row r="20" spans="1:2" x14ac:dyDescent="0.25">
      <c r="A20" s="20" t="s">
        <v>80</v>
      </c>
      <c r="B20" s="25">
        <v>145519</v>
      </c>
    </row>
    <row r="21" spans="1:2" x14ac:dyDescent="0.25">
      <c r="A21" s="20" t="s">
        <v>81</v>
      </c>
      <c r="B21" s="10">
        <v>135126</v>
      </c>
    </row>
    <row r="22" spans="1:2" x14ac:dyDescent="0.25">
      <c r="A22" s="20" t="s">
        <v>82</v>
      </c>
      <c r="B22" s="25">
        <v>24629</v>
      </c>
    </row>
    <row r="23" spans="1:2" x14ac:dyDescent="0.25">
      <c r="A23" s="20" t="s">
        <v>83</v>
      </c>
      <c r="B23" s="10">
        <v>42593</v>
      </c>
    </row>
    <row r="24" spans="1:2" x14ac:dyDescent="0.25">
      <c r="A24" s="20" t="s">
        <v>84</v>
      </c>
      <c r="B24" s="25">
        <v>26402</v>
      </c>
    </row>
    <row r="25" spans="1:2" x14ac:dyDescent="0.25">
      <c r="A25" s="20" t="s">
        <v>86</v>
      </c>
      <c r="B25" s="10">
        <v>17947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1:G37"/>
  <sheetViews>
    <sheetView workbookViewId="0">
      <selection activeCell="M20" sqref="M20"/>
    </sheetView>
  </sheetViews>
  <sheetFormatPr defaultColWidth="8.85546875" defaultRowHeight="15" x14ac:dyDescent="0.25"/>
  <cols>
    <col min="1" max="1" width="13.5703125" bestFit="1" customWidth="1"/>
    <col min="2" max="2" width="27.42578125" style="18" bestFit="1" customWidth="1"/>
    <col min="3" max="3" width="15.5703125" style="18" bestFit="1" customWidth="1"/>
    <col min="4" max="4" width="7.5703125" style="31" bestFit="1" customWidth="1"/>
    <col min="5" max="5" width="17" style="31" bestFit="1" customWidth="1"/>
    <col min="6" max="6" width="14" style="31" bestFit="1" customWidth="1"/>
    <col min="7" max="7" width="11.85546875" style="31" bestFit="1" customWidth="1"/>
    <col min="8" max="135" width="6" bestFit="1" customWidth="1"/>
    <col min="136" max="156" width="7" bestFit="1" customWidth="1"/>
    <col min="157" max="157" width="11.28515625" bestFit="1" customWidth="1"/>
  </cols>
  <sheetData>
    <row r="1" spans="1:7" ht="15.75" thickBot="1" x14ac:dyDescent="0.3">
      <c r="D1" s="37" t="s">
        <v>38</v>
      </c>
      <c r="E1" s="26" t="s">
        <v>39</v>
      </c>
      <c r="F1" s="26" t="s">
        <v>36</v>
      </c>
      <c r="G1" s="33" t="s">
        <v>40</v>
      </c>
    </row>
    <row r="2" spans="1:7" x14ac:dyDescent="0.25">
      <c r="D2" s="27">
        <v>21500</v>
      </c>
      <c r="E2" s="27">
        <v>16360</v>
      </c>
      <c r="F2" s="32" t="s">
        <v>54</v>
      </c>
      <c r="G2" s="34">
        <f>SUM(E2/D2)</f>
        <v>0.76093023255813952</v>
      </c>
    </row>
    <row r="3" spans="1:7" x14ac:dyDescent="0.25">
      <c r="A3" s="15" t="s">
        <v>0</v>
      </c>
      <c r="B3" s="18" t="s">
        <v>33</v>
      </c>
      <c r="C3" s="18" t="s">
        <v>34</v>
      </c>
      <c r="D3" s="28">
        <v>28400</v>
      </c>
      <c r="E3" s="28">
        <v>19875</v>
      </c>
      <c r="F3" s="32" t="s">
        <v>56</v>
      </c>
      <c r="G3" s="34">
        <f t="shared" ref="G3:G26" si="0">SUM(E3/D3)</f>
        <v>0.69982394366197187</v>
      </c>
    </row>
    <row r="4" spans="1:7" x14ac:dyDescent="0.25">
      <c r="A4" s="16" t="s">
        <v>2</v>
      </c>
      <c r="B4" s="18">
        <v>21986.666666666668</v>
      </c>
      <c r="C4" s="18">
        <v>30633.333333333332</v>
      </c>
      <c r="D4" s="27">
        <v>42000</v>
      </c>
      <c r="E4" s="27">
        <v>29725</v>
      </c>
      <c r="F4" s="32" t="s">
        <v>57</v>
      </c>
      <c r="G4" s="34">
        <f t="shared" si="0"/>
        <v>0.70773809523809528</v>
      </c>
    </row>
    <row r="5" spans="1:7" x14ac:dyDescent="0.25">
      <c r="A5" s="16" t="s">
        <v>3</v>
      </c>
      <c r="B5" s="18">
        <v>28270</v>
      </c>
      <c r="C5" s="18">
        <v>39980</v>
      </c>
      <c r="D5" s="28">
        <v>23990</v>
      </c>
      <c r="E5" s="28">
        <v>22255</v>
      </c>
      <c r="F5" s="32" t="s">
        <v>58</v>
      </c>
      <c r="G5" s="34">
        <f t="shared" si="0"/>
        <v>0.92767819924968742</v>
      </c>
    </row>
    <row r="6" spans="1:7" x14ac:dyDescent="0.25">
      <c r="A6" s="16" t="s">
        <v>4</v>
      </c>
      <c r="B6" s="18">
        <v>29766.666666666668</v>
      </c>
      <c r="C6" s="18">
        <v>33096.666666666664</v>
      </c>
      <c r="D6" s="27">
        <v>33950</v>
      </c>
      <c r="E6" s="27">
        <v>23555</v>
      </c>
      <c r="F6" s="32" t="s">
        <v>59</v>
      </c>
      <c r="G6" s="34">
        <f t="shared" si="0"/>
        <v>0.6938144329896907</v>
      </c>
    </row>
    <row r="7" spans="1:7" x14ac:dyDescent="0.25">
      <c r="A7" s="16" t="s">
        <v>5</v>
      </c>
      <c r="B7" s="18">
        <v>14941.25</v>
      </c>
      <c r="C7" s="18">
        <v>26781.25</v>
      </c>
      <c r="D7" s="28">
        <v>62000</v>
      </c>
      <c r="E7" s="28">
        <v>39000</v>
      </c>
      <c r="F7" s="32" t="s">
        <v>60</v>
      </c>
      <c r="G7" s="34">
        <f t="shared" si="0"/>
        <v>0.62903225806451613</v>
      </c>
    </row>
    <row r="8" spans="1:7" x14ac:dyDescent="0.25">
      <c r="A8" s="16" t="s">
        <v>6</v>
      </c>
      <c r="B8" s="18">
        <v>24964</v>
      </c>
      <c r="C8" s="18">
        <v>40254</v>
      </c>
      <c r="D8" s="27">
        <v>26990</v>
      </c>
      <c r="E8" s="27">
        <v>24500</v>
      </c>
      <c r="F8" s="32" t="s">
        <v>61</v>
      </c>
      <c r="G8" s="34">
        <f t="shared" si="0"/>
        <v>0.9077436087439793</v>
      </c>
    </row>
    <row r="9" spans="1:7" x14ac:dyDescent="0.25">
      <c r="A9" s="16" t="s">
        <v>7</v>
      </c>
      <c r="B9" s="18">
        <v>13043.888888888889</v>
      </c>
      <c r="C9" s="18">
        <v>21133.888888888891</v>
      </c>
      <c r="D9" s="28">
        <v>33400</v>
      </c>
      <c r="E9" s="28">
        <v>28675</v>
      </c>
      <c r="F9" s="32" t="s">
        <v>62</v>
      </c>
      <c r="G9" s="34">
        <f t="shared" si="0"/>
        <v>0.85853293413173648</v>
      </c>
    </row>
    <row r="10" spans="1:7" x14ac:dyDescent="0.25">
      <c r="A10" s="16" t="s">
        <v>8</v>
      </c>
      <c r="B10" s="18">
        <v>14775.833333333334</v>
      </c>
      <c r="C10" s="18">
        <v>23430.833333333332</v>
      </c>
      <c r="D10" s="27">
        <v>38900</v>
      </c>
      <c r="E10" s="27">
        <v>36125</v>
      </c>
      <c r="F10" s="32" t="s">
        <v>63</v>
      </c>
      <c r="G10" s="34">
        <f t="shared" si="0"/>
        <v>0.92866323907455017</v>
      </c>
    </row>
    <row r="11" spans="1:7" x14ac:dyDescent="0.25">
      <c r="A11" s="16" t="s">
        <v>9</v>
      </c>
      <c r="B11" s="18">
        <v>17267.363636363636</v>
      </c>
      <c r="C11" s="18">
        <v>24213.636363636364</v>
      </c>
      <c r="D11" s="28">
        <v>21975</v>
      </c>
      <c r="E11" s="28">
        <v>12475</v>
      </c>
      <c r="F11" s="32" t="s">
        <v>64</v>
      </c>
      <c r="G11" s="34">
        <f t="shared" si="0"/>
        <v>0.56769055745164965</v>
      </c>
    </row>
    <row r="12" spans="1:7" x14ac:dyDescent="0.25">
      <c r="A12" s="16" t="s">
        <v>10</v>
      </c>
      <c r="B12" s="18">
        <v>12570</v>
      </c>
      <c r="C12" s="18">
        <v>21047.272727272728</v>
      </c>
      <c r="D12" s="27">
        <v>25300</v>
      </c>
      <c r="E12" s="27">
        <v>13740</v>
      </c>
      <c r="F12" s="32" t="s">
        <v>65</v>
      </c>
      <c r="G12" s="34">
        <f t="shared" si="0"/>
        <v>0.54308300395256914</v>
      </c>
    </row>
    <row r="13" spans="1:7" x14ac:dyDescent="0.25">
      <c r="A13" s="16" t="s">
        <v>11</v>
      </c>
      <c r="B13" s="18">
        <v>15557</v>
      </c>
      <c r="C13" s="18">
        <v>20277</v>
      </c>
      <c r="D13" s="28">
        <v>31965</v>
      </c>
      <c r="E13" s="28">
        <v>20190</v>
      </c>
      <c r="F13" s="32" t="s">
        <v>66</v>
      </c>
      <c r="G13" s="34">
        <f t="shared" si="0"/>
        <v>0.63162834350070385</v>
      </c>
    </row>
    <row r="14" spans="1:7" x14ac:dyDescent="0.25">
      <c r="A14" s="16" t="s">
        <v>12</v>
      </c>
      <c r="B14" s="18">
        <v>7531.666666666667</v>
      </c>
      <c r="C14" s="18">
        <v>12165.666666666666</v>
      </c>
      <c r="D14" s="27">
        <v>27885</v>
      </c>
      <c r="E14" s="27">
        <v>13360</v>
      </c>
      <c r="F14" s="32" t="s">
        <v>67</v>
      </c>
      <c r="G14" s="34">
        <f t="shared" si="0"/>
        <v>0.4791106329567868</v>
      </c>
    </row>
    <row r="15" spans="1:7" x14ac:dyDescent="0.25">
      <c r="A15" s="16" t="s">
        <v>13</v>
      </c>
      <c r="B15" s="18">
        <v>19690</v>
      </c>
      <c r="C15" s="18">
        <v>29465</v>
      </c>
      <c r="D15" s="28">
        <v>39895</v>
      </c>
      <c r="E15" s="28">
        <v>22525</v>
      </c>
      <c r="F15" s="32" t="s">
        <v>68</v>
      </c>
      <c r="G15" s="34">
        <f t="shared" si="0"/>
        <v>0.56460709362075445</v>
      </c>
    </row>
    <row r="16" spans="1:7" x14ac:dyDescent="0.25">
      <c r="A16" s="16" t="s">
        <v>14</v>
      </c>
      <c r="B16" s="18">
        <v>33219</v>
      </c>
      <c r="C16" s="18">
        <v>42800</v>
      </c>
      <c r="D16" s="27">
        <v>44475</v>
      </c>
      <c r="E16" s="27">
        <v>27100</v>
      </c>
      <c r="F16" s="32" t="s">
        <v>69</v>
      </c>
      <c r="G16" s="34">
        <f t="shared" si="0"/>
        <v>0.60933108487914556</v>
      </c>
    </row>
    <row r="17" spans="1:7" x14ac:dyDescent="0.25">
      <c r="A17" s="16" t="s">
        <v>15</v>
      </c>
      <c r="B17" s="18">
        <v>15353.333333333334</v>
      </c>
      <c r="C17" s="18">
        <v>20991.666666666668</v>
      </c>
      <c r="D17" s="28">
        <v>39665</v>
      </c>
      <c r="E17" s="28">
        <v>25725</v>
      </c>
      <c r="F17" s="32" t="s">
        <v>70</v>
      </c>
      <c r="G17" s="34">
        <f t="shared" si="0"/>
        <v>0.6485566620446237</v>
      </c>
    </row>
    <row r="18" spans="1:7" x14ac:dyDescent="0.25">
      <c r="A18" s="16" t="s">
        <v>16</v>
      </c>
      <c r="B18" s="18">
        <v>35231.666666666664</v>
      </c>
      <c r="C18" s="18">
        <v>44055</v>
      </c>
      <c r="D18" s="27">
        <v>31010</v>
      </c>
      <c r="E18" s="27">
        <v>18225</v>
      </c>
      <c r="F18" s="32" t="s">
        <v>71</v>
      </c>
      <c r="G18" s="34">
        <f t="shared" si="0"/>
        <v>0.58771364076104482</v>
      </c>
    </row>
    <row r="19" spans="1:7" x14ac:dyDescent="0.25">
      <c r="A19" s="16" t="s">
        <v>17</v>
      </c>
      <c r="B19" s="18">
        <v>21005</v>
      </c>
      <c r="C19" s="18">
        <v>41690</v>
      </c>
      <c r="D19" s="28">
        <v>46225</v>
      </c>
      <c r="E19" s="28">
        <v>31245</v>
      </c>
      <c r="F19" s="32" t="s">
        <v>79</v>
      </c>
      <c r="G19" s="34">
        <f t="shared" si="0"/>
        <v>0.67593293672255272</v>
      </c>
    </row>
    <row r="20" spans="1:7" x14ac:dyDescent="0.25">
      <c r="A20" s="16" t="s">
        <v>18</v>
      </c>
      <c r="B20" s="18">
        <v>39876.555555555555</v>
      </c>
      <c r="C20" s="18">
        <v>52916.666666666664</v>
      </c>
      <c r="D20" s="27">
        <v>13260</v>
      </c>
      <c r="E20" s="27">
        <v>9250</v>
      </c>
      <c r="F20" s="32" t="s">
        <v>80</v>
      </c>
      <c r="G20" s="34">
        <f t="shared" si="0"/>
        <v>0.69758672699849167</v>
      </c>
    </row>
    <row r="21" spans="1:7" x14ac:dyDescent="0.25">
      <c r="A21" s="16" t="s">
        <v>19</v>
      </c>
      <c r="B21" s="18">
        <v>13970</v>
      </c>
      <c r="C21" s="18">
        <v>20748.333333333332</v>
      </c>
      <c r="D21" s="28">
        <v>16535</v>
      </c>
      <c r="E21" s="28">
        <v>11225</v>
      </c>
      <c r="F21" s="32" t="s">
        <v>81</v>
      </c>
      <c r="G21" s="34">
        <f t="shared" si="0"/>
        <v>0.67886301784094349</v>
      </c>
    </row>
    <row r="22" spans="1:7" x14ac:dyDescent="0.25">
      <c r="A22" s="16" t="s">
        <v>20</v>
      </c>
      <c r="B22" s="18">
        <v>14262.142857142857</v>
      </c>
      <c r="C22" s="18">
        <v>22167.428571428572</v>
      </c>
      <c r="D22" s="27">
        <v>18890</v>
      </c>
      <c r="E22" s="27">
        <v>10310</v>
      </c>
      <c r="F22" s="32" t="s">
        <v>82</v>
      </c>
      <c r="G22" s="34">
        <f t="shared" si="0"/>
        <v>0.54579142403388037</v>
      </c>
    </row>
    <row r="23" spans="1:7" x14ac:dyDescent="0.25">
      <c r="A23" s="16" t="s">
        <v>21</v>
      </c>
      <c r="B23" s="18">
        <v>13117.571428571429</v>
      </c>
      <c r="C23" s="18">
        <v>22360.714285714286</v>
      </c>
      <c r="D23" s="28">
        <v>19390</v>
      </c>
      <c r="E23" s="28">
        <v>11525</v>
      </c>
      <c r="F23" s="32" t="s">
        <v>83</v>
      </c>
      <c r="G23" s="34">
        <f t="shared" si="0"/>
        <v>0.59437854564208359</v>
      </c>
    </row>
    <row r="24" spans="1:7" x14ac:dyDescent="0.25">
      <c r="A24" s="16" t="s">
        <v>22</v>
      </c>
      <c r="B24" s="18">
        <v>15809</v>
      </c>
      <c r="C24" s="18">
        <v>25622.833333333332</v>
      </c>
      <c r="D24" s="27">
        <v>24340</v>
      </c>
      <c r="E24" s="27">
        <v>13025</v>
      </c>
      <c r="F24" s="32" t="s">
        <v>84</v>
      </c>
      <c r="G24" s="34">
        <f t="shared" si="0"/>
        <v>0.53512736236647496</v>
      </c>
    </row>
    <row r="25" spans="1:7" x14ac:dyDescent="0.25">
      <c r="A25" s="16" t="s">
        <v>23</v>
      </c>
      <c r="B25" s="18">
        <v>15002.25</v>
      </c>
      <c r="C25" s="18">
        <v>22642.5</v>
      </c>
      <c r="D25" s="28">
        <v>55705</v>
      </c>
      <c r="E25" s="28">
        <v>36225</v>
      </c>
      <c r="F25" s="32" t="s">
        <v>86</v>
      </c>
      <c r="G25" s="34">
        <f t="shared" si="0"/>
        <v>0.65030069114083111</v>
      </c>
    </row>
    <row r="26" spans="1:7" x14ac:dyDescent="0.25">
      <c r="A26" s="16" t="s">
        <v>24</v>
      </c>
      <c r="B26" s="18">
        <v>13889.166666666666</v>
      </c>
      <c r="C26" s="18">
        <v>22949.166666666668</v>
      </c>
      <c r="D26" s="27">
        <v>13960</v>
      </c>
      <c r="E26" s="29">
        <v>9125</v>
      </c>
      <c r="F26" s="32" t="s">
        <v>86</v>
      </c>
      <c r="G26" s="34">
        <f t="shared" si="0"/>
        <v>0.65365329512893988</v>
      </c>
    </row>
    <row r="27" spans="1:7" x14ac:dyDescent="0.25">
      <c r="A27" s="16" t="s">
        <v>25</v>
      </c>
      <c r="B27" s="18">
        <v>56475</v>
      </c>
      <c r="C27" s="18">
        <v>62473.333333333336</v>
      </c>
      <c r="E27" s="30"/>
      <c r="G27" s="35"/>
    </row>
    <row r="28" spans="1:7" x14ac:dyDescent="0.25">
      <c r="A28" s="16" t="s">
        <v>26</v>
      </c>
      <c r="B28" s="18">
        <v>20522</v>
      </c>
      <c r="C28" s="18">
        <v>29610</v>
      </c>
      <c r="E28" s="30"/>
      <c r="G28" s="36"/>
    </row>
    <row r="29" spans="1:7" x14ac:dyDescent="0.25">
      <c r="A29" s="16" t="s">
        <v>27</v>
      </c>
      <c r="B29" s="18">
        <v>10836</v>
      </c>
      <c r="C29" s="18">
        <v>14271</v>
      </c>
      <c r="E29" s="30"/>
      <c r="G29" s="35"/>
    </row>
    <row r="30" spans="1:7" x14ac:dyDescent="0.25">
      <c r="A30" s="16" t="s">
        <v>28</v>
      </c>
      <c r="B30" s="18">
        <v>15801</v>
      </c>
      <c r="C30" s="18">
        <v>21395</v>
      </c>
      <c r="E30" s="30"/>
    </row>
    <row r="31" spans="1:7" x14ac:dyDescent="0.25">
      <c r="A31" s="16" t="s">
        <v>29</v>
      </c>
      <c r="B31" s="18">
        <v>16883.222222222223</v>
      </c>
      <c r="C31" s="18">
        <v>21982.888888888891</v>
      </c>
      <c r="E31" s="30"/>
    </row>
    <row r="32" spans="1:7" x14ac:dyDescent="0.25">
      <c r="A32" s="16" t="s">
        <v>30</v>
      </c>
      <c r="B32" s="18">
        <v>13951.833333333334</v>
      </c>
      <c r="C32" s="18">
        <v>17698.333333333332</v>
      </c>
      <c r="E32" s="30"/>
    </row>
    <row r="33" spans="1:5" x14ac:dyDescent="0.25">
      <c r="A33" s="16" t="s">
        <v>31</v>
      </c>
      <c r="B33" s="18">
        <v>21547.833333333332</v>
      </c>
      <c r="C33" s="18">
        <v>30933.333333333332</v>
      </c>
      <c r="E33" s="30"/>
    </row>
    <row r="34" spans="1:5" x14ac:dyDescent="0.25">
      <c r="A34" s="16" t="s">
        <v>32</v>
      </c>
      <c r="B34" s="18">
        <v>19138.277419354839</v>
      </c>
      <c r="C34" s="18">
        <v>27455.270967741937</v>
      </c>
      <c r="E34" s="30"/>
    </row>
    <row r="35" spans="1:5" x14ac:dyDescent="0.25">
      <c r="B35"/>
    </row>
    <row r="36" spans="1:5" x14ac:dyDescent="0.25">
      <c r="B36"/>
    </row>
    <row r="37" spans="1:5" x14ac:dyDescent="0.25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A692-8050-4903-8A80-EAC990D6C92A}">
  <dimension ref="A1:J10"/>
  <sheetViews>
    <sheetView workbookViewId="0">
      <selection activeCell="L23" sqref="L23"/>
    </sheetView>
  </sheetViews>
  <sheetFormatPr defaultRowHeight="15" x14ac:dyDescent="0.25"/>
  <cols>
    <col min="1" max="1" width="13.28515625" bestFit="1" customWidth="1"/>
    <col min="2" max="2" width="7.28515625" bestFit="1" customWidth="1"/>
    <col min="3" max="3" width="12.7109375" bestFit="1" customWidth="1"/>
    <col min="4" max="4" width="9.85546875" bestFit="1" customWidth="1"/>
    <col min="5" max="5" width="17" bestFit="1" customWidth="1"/>
    <col min="6" max="6" width="11.85546875" bestFit="1" customWidth="1"/>
    <col min="7" max="7" width="15.5703125" bestFit="1" customWidth="1"/>
    <col min="8" max="8" width="11" bestFit="1" customWidth="1"/>
    <col min="9" max="9" width="11.85546875" bestFit="1" customWidth="1"/>
  </cols>
  <sheetData>
    <row r="1" spans="1:10" ht="15.75" thickBot="1" x14ac:dyDescent="0.3">
      <c r="A1" s="19" t="s">
        <v>35</v>
      </c>
      <c r="B1" s="19" t="s">
        <v>36</v>
      </c>
      <c r="C1" s="19" t="s">
        <v>45</v>
      </c>
      <c r="D1" s="19" t="s">
        <v>37</v>
      </c>
      <c r="E1" s="21" t="s">
        <v>38</v>
      </c>
      <c r="F1" s="19" t="s">
        <v>39</v>
      </c>
      <c r="G1" s="19" t="s">
        <v>40</v>
      </c>
      <c r="H1" s="19" t="s">
        <v>41</v>
      </c>
      <c r="I1" s="19" t="s">
        <v>42</v>
      </c>
      <c r="J1" s="19" t="s">
        <v>43</v>
      </c>
    </row>
    <row r="2" spans="1:10" x14ac:dyDescent="0.25">
      <c r="A2" s="44" t="s">
        <v>2</v>
      </c>
      <c r="B2" s="20" t="s">
        <v>54</v>
      </c>
      <c r="C2" s="46" t="s">
        <v>55</v>
      </c>
      <c r="D2" s="25">
        <v>16919</v>
      </c>
      <c r="E2" s="22">
        <v>21500</v>
      </c>
      <c r="F2" s="22">
        <v>16360</v>
      </c>
      <c r="G2" s="45">
        <f t="shared" ref="G2:G10" si="0">SUM(F2/E2)</f>
        <v>0.76093023255813952</v>
      </c>
      <c r="H2" s="45" t="str">
        <f>IF(G2&gt;69%, "GOOD", "POOR")</f>
        <v>GOOD</v>
      </c>
      <c r="I2" s="46">
        <v>1.8</v>
      </c>
      <c r="J2" s="46">
        <v>140</v>
      </c>
    </row>
    <row r="3" spans="1:10" x14ac:dyDescent="0.25">
      <c r="A3" s="44" t="s">
        <v>2</v>
      </c>
      <c r="B3" s="20" t="s">
        <v>56</v>
      </c>
      <c r="C3" s="5" t="s">
        <v>55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>IF(G3&gt;69%, "GOOD", "POOR")</f>
        <v>GOOD</v>
      </c>
      <c r="I3" s="5">
        <v>3.2</v>
      </c>
      <c r="J3" s="5">
        <v>225</v>
      </c>
    </row>
    <row r="4" spans="1:10" x14ac:dyDescent="0.25">
      <c r="A4" s="44" t="s">
        <v>2</v>
      </c>
      <c r="B4" s="20" t="s">
        <v>57</v>
      </c>
      <c r="C4" s="46" t="s">
        <v>55</v>
      </c>
      <c r="D4" s="25">
        <v>8588</v>
      </c>
      <c r="E4" s="22">
        <v>42000</v>
      </c>
      <c r="F4" s="22">
        <v>29725</v>
      </c>
      <c r="G4" s="45">
        <f t="shared" si="0"/>
        <v>0.70773809523809528</v>
      </c>
      <c r="H4" s="45" t="str">
        <f>IF(G4&gt;69%, "GOOD", "POOR")</f>
        <v>GOOD</v>
      </c>
      <c r="I4" s="46">
        <v>3.5</v>
      </c>
      <c r="J4" s="46">
        <v>210</v>
      </c>
    </row>
    <row r="5" spans="1:10" x14ac:dyDescent="0.25">
      <c r="A5" s="44" t="s">
        <v>3</v>
      </c>
      <c r="B5" s="20" t="s">
        <v>58</v>
      </c>
      <c r="C5" s="5" t="s">
        <v>55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ref="H5:H10" si="1">IF(G5&gt;69%, "GOOD", "POOR")</f>
        <v>GOOD</v>
      </c>
      <c r="I5" s="5">
        <v>1.8</v>
      </c>
      <c r="J5" s="5">
        <v>150</v>
      </c>
    </row>
    <row r="6" spans="1:10" x14ac:dyDescent="0.25">
      <c r="A6" s="44" t="s">
        <v>3</v>
      </c>
      <c r="B6" s="20" t="s">
        <v>59</v>
      </c>
      <c r="C6" s="46" t="s">
        <v>55</v>
      </c>
      <c r="D6" s="25">
        <v>18780</v>
      </c>
      <c r="E6" s="22">
        <v>33950</v>
      </c>
      <c r="F6" s="22">
        <v>23555</v>
      </c>
      <c r="G6" s="45">
        <f t="shared" si="0"/>
        <v>0.6938144329896907</v>
      </c>
      <c r="H6" s="45" t="str">
        <f t="shared" si="1"/>
        <v>GOOD</v>
      </c>
      <c r="I6" s="46">
        <v>2.8</v>
      </c>
      <c r="J6" s="46">
        <v>200</v>
      </c>
    </row>
    <row r="7" spans="1:10" x14ac:dyDescent="0.25">
      <c r="A7" s="44" t="s">
        <v>3</v>
      </c>
      <c r="B7" s="20" t="s">
        <v>60</v>
      </c>
      <c r="C7" s="5" t="s">
        <v>55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</row>
    <row r="8" spans="1:10" x14ac:dyDescent="0.25">
      <c r="A8" s="44" t="s">
        <v>4</v>
      </c>
      <c r="B8" s="20" t="s">
        <v>61</v>
      </c>
      <c r="C8" s="46" t="s">
        <v>55</v>
      </c>
      <c r="D8" s="25">
        <v>19747</v>
      </c>
      <c r="E8" s="22">
        <v>26990</v>
      </c>
      <c r="F8" s="22">
        <v>24500</v>
      </c>
      <c r="G8" s="45">
        <f t="shared" si="0"/>
        <v>0.9077436087439793</v>
      </c>
      <c r="H8" s="45" t="str">
        <f t="shared" si="1"/>
        <v>GOOD</v>
      </c>
      <c r="I8" s="46">
        <v>2.5</v>
      </c>
      <c r="J8" s="46">
        <v>170</v>
      </c>
    </row>
    <row r="9" spans="1:10" x14ac:dyDescent="0.25">
      <c r="A9" s="44" t="s">
        <v>4</v>
      </c>
      <c r="B9" s="20" t="s">
        <v>62</v>
      </c>
      <c r="C9" s="5" t="s">
        <v>55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</row>
    <row r="10" spans="1:10" x14ac:dyDescent="0.25">
      <c r="A10" s="44" t="s">
        <v>4</v>
      </c>
      <c r="B10" s="20" t="s">
        <v>63</v>
      </c>
      <c r="C10" s="46" t="s">
        <v>55</v>
      </c>
      <c r="D10" s="25">
        <v>17527</v>
      </c>
      <c r="E10" s="22">
        <v>38900</v>
      </c>
      <c r="F10" s="22">
        <v>36125</v>
      </c>
      <c r="G10" s="45">
        <f t="shared" si="0"/>
        <v>0.92866323907455017</v>
      </c>
      <c r="H10" s="45" t="str">
        <f t="shared" si="1"/>
        <v>GOOD</v>
      </c>
      <c r="I10" s="46">
        <v>2.8</v>
      </c>
      <c r="J10" s="46">
        <v>193</v>
      </c>
    </row>
  </sheetData>
  <conditionalFormatting sqref="H2:H10">
    <cfRule type="containsText" dxfId="7" priority="1" operator="containsText" text="POOR">
      <formula>NOT(ISERROR(SEARCH("POOR",H2)))</formula>
    </cfRule>
    <cfRule type="containsText" dxfId="6" priority="2" operator="containsText" text="GOOD">
      <formula>NOT(ISERROR(SEARCH("GOOD",H2)))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zoomScaleNormal="100" workbookViewId="0">
      <selection activeCell="H13" sqref="H13"/>
    </sheetView>
  </sheetViews>
  <sheetFormatPr defaultColWidth="9.140625" defaultRowHeight="15" x14ac:dyDescent="0.25"/>
  <cols>
    <col min="1" max="1" width="15.28515625" customWidth="1"/>
    <col min="2" max="2" width="15.42578125" bestFit="1" customWidth="1"/>
    <col min="3" max="3" width="20.42578125" bestFit="1" customWidth="1"/>
    <col min="4" max="4" width="12.7109375" style="9" customWidth="1"/>
    <col min="5" max="5" width="19.42578125" bestFit="1" customWidth="1"/>
    <col min="6" max="6" width="14" customWidth="1"/>
    <col min="7" max="7" width="17.42578125" customWidth="1"/>
    <col min="8" max="8" width="13.140625" customWidth="1"/>
    <col min="9" max="9" width="14" customWidth="1"/>
    <col min="10" max="10" width="11.85546875" customWidth="1"/>
    <col min="11" max="11" width="14.85546875" customWidth="1"/>
    <col min="12" max="12" width="14.7109375" customWidth="1"/>
    <col min="13" max="13" width="17.85546875" customWidth="1"/>
    <col min="14" max="14" width="13.140625" hidden="1" customWidth="1"/>
    <col min="15" max="15" width="11" hidden="1" customWidth="1"/>
    <col min="16" max="16" width="6.42578125" hidden="1" customWidth="1"/>
    <col min="17" max="17" width="7" hidden="1" customWidth="1"/>
    <col min="18" max="18" width="12.28515625" hidden="1" customWidth="1"/>
    <col min="19" max="19" width="13.42578125" hidden="1" customWidth="1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 x14ac:dyDescent="0.25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</row>
    <row r="2" spans="1:23" x14ac:dyDescent="0.25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IF(F2&gt;70%,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x14ac:dyDescent="0.25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33" si="1">IF(F3&gt;70%, "GOOD", "POOR")</f>
        <v>POOR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x14ac:dyDescent="0.25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x14ac:dyDescent="0.25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x14ac:dyDescent="0.25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POOR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x14ac:dyDescent="0.25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x14ac:dyDescent="0.25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x14ac:dyDescent="0.25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x14ac:dyDescent="0.25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x14ac:dyDescent="0.25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x14ac:dyDescent="0.25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x14ac:dyDescent="0.25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x14ac:dyDescent="0.25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x14ac:dyDescent="0.25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x14ac:dyDescent="0.25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x14ac:dyDescent="0.25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x14ac:dyDescent="0.25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x14ac:dyDescent="0.25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x14ac:dyDescent="0.25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POOR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x14ac:dyDescent="0.25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</row>
    <row r="22" spans="1:26" x14ac:dyDescent="0.25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x14ac:dyDescent="0.25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x14ac:dyDescent="0.25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x14ac:dyDescent="0.25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x14ac:dyDescent="0.25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x14ac:dyDescent="0.25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x14ac:dyDescent="0.25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x14ac:dyDescent="0.25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x14ac:dyDescent="0.25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x14ac:dyDescent="0.25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x14ac:dyDescent="0.25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x14ac:dyDescent="0.25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x14ac:dyDescent="0.25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ref="G34:G65" si="2">IF(F34&gt;70%, "GOOD", "POOR")</f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x14ac:dyDescent="0.25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2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x14ac:dyDescent="0.25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2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x14ac:dyDescent="0.25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2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x14ac:dyDescent="0.25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2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x14ac:dyDescent="0.25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2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x14ac:dyDescent="0.25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2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x14ac:dyDescent="0.25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2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x14ac:dyDescent="0.25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2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x14ac:dyDescent="0.25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2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x14ac:dyDescent="0.25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2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x14ac:dyDescent="0.25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2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x14ac:dyDescent="0.25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2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x14ac:dyDescent="0.25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2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x14ac:dyDescent="0.25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2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x14ac:dyDescent="0.25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2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x14ac:dyDescent="0.25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2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x14ac:dyDescent="0.25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2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x14ac:dyDescent="0.25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2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x14ac:dyDescent="0.25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2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x14ac:dyDescent="0.25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2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x14ac:dyDescent="0.25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2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x14ac:dyDescent="0.25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2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x14ac:dyDescent="0.25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2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x14ac:dyDescent="0.25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2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x14ac:dyDescent="0.25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2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x14ac:dyDescent="0.25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2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x14ac:dyDescent="0.25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2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x14ac:dyDescent="0.25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2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x14ac:dyDescent="0.25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2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x14ac:dyDescent="0.25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2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x14ac:dyDescent="0.25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2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x14ac:dyDescent="0.25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3">SUM(E66/D66)</f>
        <v>0.77614485981308412</v>
      </c>
      <c r="G66" s="12" t="str">
        <f t="shared" ref="G66:G97" si="4">IF(F66&gt;70%, "GOOD", "POOR")</f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x14ac:dyDescent="0.25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3"/>
        <v>0.931881051175657</v>
      </c>
      <c r="G67" s="12" t="str">
        <f t="shared" si="4"/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x14ac:dyDescent="0.25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3"/>
        <v>0.63714153561517117</v>
      </c>
      <c r="G68" s="12" t="str">
        <f t="shared" si="4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x14ac:dyDescent="0.25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3"/>
        <v>0.69938650306748462</v>
      </c>
      <c r="G69" s="12" t="str">
        <f t="shared" si="4"/>
        <v>POOR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x14ac:dyDescent="0.25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3"/>
        <v>0.85621329947627356</v>
      </c>
      <c r="G70" s="12" t="str">
        <f t="shared" si="4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x14ac:dyDescent="0.25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3"/>
        <v>0.8484327469911388</v>
      </c>
      <c r="G71" s="12" t="str">
        <f t="shared" si="4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x14ac:dyDescent="0.25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3"/>
        <v>0.84126984126984128</v>
      </c>
      <c r="G72" s="12" t="str">
        <f t="shared" si="4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x14ac:dyDescent="0.25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3"/>
        <v>0.74761596148504772</v>
      </c>
      <c r="G73" s="12" t="str">
        <f t="shared" si="4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x14ac:dyDescent="0.25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3"/>
        <v>0.72988936028616591</v>
      </c>
      <c r="G74" s="12" t="str">
        <f t="shared" si="4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x14ac:dyDescent="0.25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3"/>
        <v>0.84207484467562488</v>
      </c>
      <c r="G75" s="12" t="str">
        <f t="shared" si="4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x14ac:dyDescent="0.25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3"/>
        <v>0.52520470829068577</v>
      </c>
      <c r="G76" s="12" t="str">
        <f t="shared" si="4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x14ac:dyDescent="0.25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3"/>
        <v>0.5013847219016847</v>
      </c>
      <c r="G77" s="12" t="str">
        <f t="shared" si="4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x14ac:dyDescent="0.25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3"/>
        <v>0.48675574308485703</v>
      </c>
      <c r="G78" s="12" t="str">
        <f t="shared" si="4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x14ac:dyDescent="0.25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3"/>
        <v>0.59519553871452058</v>
      </c>
      <c r="G79" s="12" t="str">
        <f t="shared" si="4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x14ac:dyDescent="0.25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3"/>
        <v>0.54575523704520401</v>
      </c>
      <c r="G80" s="12" t="str">
        <f t="shared" si="4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x14ac:dyDescent="0.25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3"/>
        <v>0.61041654663824396</v>
      </c>
      <c r="G81" s="12" t="str">
        <f t="shared" si="4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x14ac:dyDescent="0.25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3"/>
        <v>0.66307956954834579</v>
      </c>
      <c r="G82" s="12" t="str">
        <f t="shared" si="4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x14ac:dyDescent="0.25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3"/>
        <v>0.82278978388998036</v>
      </c>
      <c r="G83" s="12" t="str">
        <f t="shared" si="4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x14ac:dyDescent="0.25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3"/>
        <v>0.601282736504543</v>
      </c>
      <c r="G84" s="12" t="str">
        <f t="shared" si="4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x14ac:dyDescent="0.25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3"/>
        <v>0.6161495094775159</v>
      </c>
      <c r="G85" s="12" t="str">
        <f t="shared" si="4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x14ac:dyDescent="0.25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3"/>
        <v>0.54187192118226613</v>
      </c>
      <c r="G86" s="12" t="str">
        <f t="shared" si="4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x14ac:dyDescent="0.25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3"/>
        <v>0.83978234582829503</v>
      </c>
      <c r="G87" s="12" t="str">
        <f t="shared" si="4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x14ac:dyDescent="0.25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3"/>
        <v>0.57945889151562913</v>
      </c>
      <c r="G88" s="12" t="str">
        <f t="shared" si="4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x14ac:dyDescent="0.25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3"/>
        <v>0.65804025658040255</v>
      </c>
      <c r="G89" s="12" t="str">
        <f t="shared" si="4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x14ac:dyDescent="0.25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3"/>
        <v>0.74129172714078373</v>
      </c>
      <c r="G90" s="12" t="str">
        <f t="shared" si="4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x14ac:dyDescent="0.25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3"/>
        <v>0.65726343847179036</v>
      </c>
      <c r="G91" s="12" t="str">
        <f t="shared" si="4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x14ac:dyDescent="0.25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3"/>
        <v>0.82047244094488192</v>
      </c>
      <c r="G92" s="12" t="str">
        <f t="shared" si="4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x14ac:dyDescent="0.25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3"/>
        <v>0.83066132264529058</v>
      </c>
      <c r="G93" s="12" t="str">
        <f t="shared" si="4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x14ac:dyDescent="0.25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3"/>
        <v>0.72274031563845054</v>
      </c>
      <c r="G94" s="12" t="str">
        <f t="shared" si="4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x14ac:dyDescent="0.25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3"/>
        <v>0.70944309927360771</v>
      </c>
      <c r="G95" s="12" t="str">
        <f t="shared" si="4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x14ac:dyDescent="0.25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3"/>
        <v>0.83383033419023134</v>
      </c>
      <c r="G96" s="12" t="str">
        <f t="shared" si="4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x14ac:dyDescent="0.25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3"/>
        <v>0.69841463414634142</v>
      </c>
      <c r="G97" s="12" t="str">
        <f t="shared" si="4"/>
        <v>POOR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x14ac:dyDescent="0.25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3"/>
        <v>0.70192307692307687</v>
      </c>
      <c r="G98" s="12" t="str">
        <f t="shared" ref="G98:G129" si="5">IF(F98&gt;70%, "GOOD", "POOR")</f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x14ac:dyDescent="0.25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3"/>
        <v>0.74178947368421055</v>
      </c>
      <c r="G99" s="12" t="str">
        <f t="shared" si="5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x14ac:dyDescent="0.25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3"/>
        <v>0.81359773371104815</v>
      </c>
      <c r="G100" s="12" t="str">
        <f t="shared" si="5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x14ac:dyDescent="0.25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3"/>
        <v>0.62597229424401812</v>
      </c>
      <c r="G101" s="12" t="str">
        <f t="shared" si="5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x14ac:dyDescent="0.25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3"/>
        <v>0.55394801373222169</v>
      </c>
      <c r="G102" s="12" t="str">
        <f t="shared" si="5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x14ac:dyDescent="0.25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3"/>
        <v>0.57621242714008147</v>
      </c>
      <c r="G103" s="12" t="str">
        <f t="shared" si="5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x14ac:dyDescent="0.25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3"/>
        <v>0.58259782567521501</v>
      </c>
      <c r="G104" s="12" t="str">
        <f t="shared" si="5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x14ac:dyDescent="0.25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3"/>
        <v>0.60787057578756953</v>
      </c>
      <c r="G105" s="12" t="str">
        <f t="shared" si="5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x14ac:dyDescent="0.25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3"/>
        <v>0.57427957366551163</v>
      </c>
      <c r="G106" s="12" t="str">
        <f t="shared" si="5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x14ac:dyDescent="0.25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3"/>
        <v>0.59642258244829516</v>
      </c>
      <c r="G107" s="12" t="str">
        <f t="shared" si="5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x14ac:dyDescent="0.25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3"/>
        <v>0.61945439515017908</v>
      </c>
      <c r="G108" s="12" t="str">
        <f t="shared" si="5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x14ac:dyDescent="0.25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3"/>
        <v>0.70807453416149069</v>
      </c>
      <c r="G109" s="12" t="str">
        <f t="shared" si="5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x14ac:dyDescent="0.25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3"/>
        <v>0.62720306513409962</v>
      </c>
      <c r="G110" s="12" t="str">
        <f t="shared" si="5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x14ac:dyDescent="0.25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3"/>
        <v>0.54900770101300067</v>
      </c>
      <c r="G111" s="12" t="str">
        <f t="shared" si="5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x14ac:dyDescent="0.25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3"/>
        <v>0.63057788467624531</v>
      </c>
      <c r="G112" s="12" t="str">
        <f t="shared" si="5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x14ac:dyDescent="0.25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3"/>
        <v>0.60130203195896625</v>
      </c>
      <c r="G113" s="12" t="str">
        <f t="shared" si="5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x14ac:dyDescent="0.25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3"/>
        <v>0.61313291139240511</v>
      </c>
      <c r="G114" s="12" t="str">
        <f t="shared" si="5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x14ac:dyDescent="0.25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3"/>
        <v>0.60945273631840802</v>
      </c>
      <c r="G115" s="12" t="str">
        <f t="shared" si="5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x14ac:dyDescent="0.25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3"/>
        <v>0.63793103448275867</v>
      </c>
      <c r="G116" s="12" t="str">
        <f t="shared" si="5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x14ac:dyDescent="0.25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3"/>
        <v>0.70776744186046514</v>
      </c>
      <c r="G117" s="12" t="str">
        <f t="shared" si="5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x14ac:dyDescent="0.25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3"/>
        <v>0.6381304951411384</v>
      </c>
      <c r="G118" s="12" t="str">
        <f t="shared" si="5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x14ac:dyDescent="0.25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3"/>
        <v>0.52180527383367137</v>
      </c>
      <c r="G119" s="12" t="str">
        <f t="shared" si="5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x14ac:dyDescent="0.25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3"/>
        <v>0.70347688660608454</v>
      </c>
      <c r="G120" s="12" t="str">
        <f t="shared" si="5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x14ac:dyDescent="0.25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3"/>
        <v>0.6466651280867759</v>
      </c>
      <c r="G121" s="12" t="str">
        <f t="shared" si="5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x14ac:dyDescent="0.25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3"/>
        <v>0.55672490002104824</v>
      </c>
      <c r="G122" s="12" t="str">
        <f t="shared" si="5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x14ac:dyDescent="0.25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3"/>
        <v>0.55451531109810803</v>
      </c>
      <c r="G123" s="12" t="str">
        <f t="shared" si="5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x14ac:dyDescent="0.25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3"/>
        <v>0.99565532223026787</v>
      </c>
      <c r="G124" s="12" t="str">
        <f t="shared" si="5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x14ac:dyDescent="0.25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3"/>
        <v>0.85363277949873273</v>
      </c>
      <c r="G125" s="12" t="str">
        <f t="shared" si="5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x14ac:dyDescent="0.25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3"/>
        <v>0.90102707749766575</v>
      </c>
      <c r="G126" s="12" t="str">
        <f t="shared" si="5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x14ac:dyDescent="0.25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3"/>
        <v>0.68807367149758458</v>
      </c>
      <c r="G127" s="12" t="str">
        <f t="shared" si="5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x14ac:dyDescent="0.25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3"/>
        <v>0.69942528735632181</v>
      </c>
      <c r="G128" s="12" t="str">
        <f t="shared" si="5"/>
        <v>POOR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x14ac:dyDescent="0.25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3"/>
        <v>0.86102012166588671</v>
      </c>
      <c r="G129" s="12" t="str">
        <f t="shared" si="5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x14ac:dyDescent="0.25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6">SUM(E130/D130)</f>
        <v>0.84483446350219382</v>
      </c>
      <c r="G130" s="12" t="str">
        <f t="shared" ref="G130:G156" si="7">IF(F130&gt;70%, "GOOD", "POOR")</f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x14ac:dyDescent="0.25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6"/>
        <v>0.75507347795661306</v>
      </c>
      <c r="G131" s="12" t="str">
        <f t="shared" si="7"/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x14ac:dyDescent="0.25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6"/>
        <v>0.72736925935757901</v>
      </c>
      <c r="G132" s="12" t="str">
        <f t="shared" si="7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x14ac:dyDescent="0.25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6"/>
        <v>0.65956029313790809</v>
      </c>
      <c r="G133" s="12" t="str">
        <f t="shared" si="7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x14ac:dyDescent="0.25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6"/>
        <v>0.73892927957699939</v>
      </c>
      <c r="G134" s="12" t="str">
        <f t="shared" si="7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x14ac:dyDescent="0.25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6"/>
        <v>0.73809405324707644</v>
      </c>
      <c r="G135" s="12" t="str">
        <f t="shared" si="7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25">
      <c r="A136" s="3" t="s">
        <v>29</v>
      </c>
      <c r="B136" s="4" t="s">
        <v>189</v>
      </c>
      <c r="C136" s="10">
        <v>68411</v>
      </c>
      <c r="D136" s="11">
        <v>22288</v>
      </c>
      <c r="E136" s="11">
        <v>19425</v>
      </c>
      <c r="F136" s="12">
        <f t="shared" ref="F136:F144" si="8">SUM(E136/D136)</f>
        <v>0.87154522613065322</v>
      </c>
      <c r="G136" s="12" t="str">
        <f t="shared" si="7"/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73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25">
      <c r="A137" s="3" t="s">
        <v>29</v>
      </c>
      <c r="B137" s="4" t="s">
        <v>190</v>
      </c>
      <c r="C137" s="10">
        <v>63849</v>
      </c>
      <c r="D137" s="11">
        <v>25545</v>
      </c>
      <c r="E137" s="11">
        <v>18140</v>
      </c>
      <c r="F137" s="12">
        <f t="shared" si="8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25">
      <c r="A138" s="3" t="s">
        <v>29</v>
      </c>
      <c r="B138" s="4" t="s">
        <v>191</v>
      </c>
      <c r="C138" s="10">
        <v>247994</v>
      </c>
      <c r="D138" s="11">
        <v>17518</v>
      </c>
      <c r="E138" s="11">
        <v>13245</v>
      </c>
      <c r="F138" s="12">
        <f t="shared" si="8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25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8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25">
      <c r="A140" s="3" t="s">
        <v>29</v>
      </c>
      <c r="B140" s="4" t="s">
        <v>193</v>
      </c>
      <c r="C140" s="10">
        <v>142535</v>
      </c>
      <c r="D140" s="11">
        <v>13108</v>
      </c>
      <c r="E140" s="11">
        <v>10025</v>
      </c>
      <c r="F140" s="12">
        <f t="shared" si="8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55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25">
      <c r="A141" s="3" t="s">
        <v>29</v>
      </c>
      <c r="B141" s="4" t="s">
        <v>194</v>
      </c>
      <c r="C141" s="10">
        <v>9835</v>
      </c>
      <c r="D141" s="11">
        <v>51728</v>
      </c>
      <c r="E141" s="11">
        <v>34080</v>
      </c>
      <c r="F141" s="12">
        <f t="shared" si="8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25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8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25">
      <c r="A143" s="3" t="s">
        <v>29</v>
      </c>
      <c r="B143" s="4" t="s">
        <v>196</v>
      </c>
      <c r="C143" s="10">
        <v>65119</v>
      </c>
      <c r="D143" s="11">
        <v>22368</v>
      </c>
      <c r="E143" s="11">
        <v>18689</v>
      </c>
      <c r="F143" s="12">
        <f t="shared" si="8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25">
      <c r="A144" s="3" t="s">
        <v>29</v>
      </c>
      <c r="B144" s="4" t="s">
        <v>197</v>
      </c>
      <c r="C144" s="10">
        <v>84087</v>
      </c>
      <c r="D144" s="11">
        <v>11528</v>
      </c>
      <c r="E144" s="11">
        <v>9575</v>
      </c>
      <c r="F144" s="12">
        <f t="shared" si="8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x14ac:dyDescent="0.25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6"/>
        <v>0.76677852348993292</v>
      </c>
      <c r="G145" s="12" t="str">
        <f t="shared" si="7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x14ac:dyDescent="0.25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6"/>
        <v>0.792814371257485</v>
      </c>
      <c r="G146" s="12" t="str">
        <f t="shared" si="7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x14ac:dyDescent="0.25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6"/>
        <v>0.78891509433962259</v>
      </c>
      <c r="G147" s="12" t="str">
        <f t="shared" si="7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x14ac:dyDescent="0.25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6"/>
        <v>0.82916458229114554</v>
      </c>
      <c r="G148" s="12" t="str">
        <f t="shared" si="7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x14ac:dyDescent="0.25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6"/>
        <v>0.78628571428571425</v>
      </c>
      <c r="G149" s="12" t="str">
        <f t="shared" si="7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x14ac:dyDescent="0.25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6"/>
        <v>0.75383647798742137</v>
      </c>
      <c r="G150" s="12" t="str">
        <f t="shared" si="7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x14ac:dyDescent="0.25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6"/>
        <v>0.61256410256410254</v>
      </c>
      <c r="G151" s="12" t="str">
        <f t="shared" si="7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x14ac:dyDescent="0.25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6"/>
        <v>0.62508196721311471</v>
      </c>
      <c r="G152" s="12" t="str">
        <f t="shared" si="7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x14ac:dyDescent="0.25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6"/>
        <v>0.68727272727272726</v>
      </c>
      <c r="G153" s="12" t="str">
        <f t="shared" si="7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x14ac:dyDescent="0.25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6"/>
        <v>0.70218749999999996</v>
      </c>
      <c r="G154" s="12" t="str">
        <f t="shared" si="7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x14ac:dyDescent="0.25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6"/>
        <v>0.75109890109890109</v>
      </c>
      <c r="G155" s="12" t="str">
        <f t="shared" si="7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x14ac:dyDescent="0.25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6"/>
        <v>0.73341666666666672</v>
      </c>
      <c r="G156" s="12" t="str">
        <f t="shared" si="7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5" priority="1" operator="containsText" text="POOR">
      <formula>NOT(ISERROR(SEARCH("POOR",G2)))</formula>
    </cfRule>
    <cfRule type="containsText" dxfId="4" priority="2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zoomScaleNormal="100" workbookViewId="0">
      <selection activeCell="A7" sqref="A7"/>
    </sheetView>
  </sheetViews>
  <sheetFormatPr defaultColWidth="9.140625" defaultRowHeight="15" x14ac:dyDescent="0.25"/>
  <cols>
    <col min="1" max="1" width="15.28515625" customWidth="1"/>
    <col min="2" max="2" width="15.42578125" bestFit="1" customWidth="1"/>
    <col min="3" max="3" width="17.85546875" customWidth="1"/>
    <col min="4" max="4" width="20.4257812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4.85546875" customWidth="1"/>
    <col min="13" max="13" width="14.7109375" customWidth="1"/>
    <col min="14" max="14" width="11" hidden="1" customWidth="1"/>
    <col min="15" max="15" width="6.42578125" hidden="1" customWidth="1"/>
    <col min="16" max="16" width="7" hidden="1" customWidth="1"/>
    <col min="17" max="17" width="12.28515625" hidden="1" customWidth="1"/>
    <col min="18" max="18" width="13.140625" hidden="1" customWidth="1"/>
    <col min="19" max="19" width="13.42578125" hidden="1" customWidth="1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 x14ac:dyDescent="0.25">
      <c r="A1" s="2" t="s">
        <v>35</v>
      </c>
      <c r="B1" s="2" t="s">
        <v>36</v>
      </c>
      <c r="C1" s="2" t="s">
        <v>47</v>
      </c>
      <c r="D1" s="2" t="s">
        <v>37</v>
      </c>
      <c r="E1" s="8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25">
      <c r="A2" s="3" t="s">
        <v>2</v>
      </c>
      <c r="B2" s="4" t="s">
        <v>54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55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25">
      <c r="A3" s="3" t="s">
        <v>2</v>
      </c>
      <c r="B3" s="4" t="s">
        <v>56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55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25">
      <c r="A4" s="3" t="s">
        <v>2</v>
      </c>
      <c r="B4" s="4" t="s">
        <v>57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55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25">
      <c r="A5" s="3" t="s">
        <v>3</v>
      </c>
      <c r="B5" s="4" t="s">
        <v>58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55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25">
      <c r="A6" s="3" t="s">
        <v>3</v>
      </c>
      <c r="B6" s="4" t="s">
        <v>59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55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25">
      <c r="A7" s="3" t="s">
        <v>3</v>
      </c>
      <c r="B7" s="4" t="s">
        <v>60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55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25">
      <c r="A8" s="3" t="s">
        <v>4</v>
      </c>
      <c r="B8" s="4" t="s">
        <v>61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55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25">
      <c r="A9" s="3" t="s">
        <v>4</v>
      </c>
      <c r="B9" s="4" t="s">
        <v>62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55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25">
      <c r="A10" s="3" t="s">
        <v>4</v>
      </c>
      <c r="B10" s="4" t="s">
        <v>63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55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25">
      <c r="A11" s="3" t="s">
        <v>5</v>
      </c>
      <c r="B11" s="4" t="s">
        <v>64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55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25">
      <c r="A12" s="3" t="s">
        <v>5</v>
      </c>
      <c r="B12" s="4" t="s">
        <v>65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55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25">
      <c r="A13" s="3" t="s">
        <v>5</v>
      </c>
      <c r="B13" s="4" t="s">
        <v>66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55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25">
      <c r="A14" s="3" t="s">
        <v>5</v>
      </c>
      <c r="B14" s="4" t="s">
        <v>67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55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25">
      <c r="A15" s="3" t="s">
        <v>6</v>
      </c>
      <c r="B15" s="4" t="s">
        <v>68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55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25">
      <c r="A16" s="3" t="s">
        <v>6</v>
      </c>
      <c r="B16" s="4" t="s">
        <v>69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55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25">
      <c r="A17" s="3" t="s">
        <v>6</v>
      </c>
      <c r="B17" s="4" t="s">
        <v>70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55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25">
      <c r="A18" s="3" t="s">
        <v>6</v>
      </c>
      <c r="B18" s="4" t="s">
        <v>71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55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25">
      <c r="A19" s="3" t="s">
        <v>6</v>
      </c>
      <c r="B19" s="4" t="s">
        <v>72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73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25">
      <c r="A20" s="3" t="s">
        <v>7</v>
      </c>
      <c r="B20" s="4" t="s">
        <v>74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55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25">
      <c r="A21" s="3" t="s">
        <v>7</v>
      </c>
      <c r="B21" s="4" t="s">
        <v>75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55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x14ac:dyDescent="0.25">
      <c r="A22" s="3" t="s">
        <v>7</v>
      </c>
      <c r="B22" s="4" t="s">
        <v>76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55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25">
      <c r="A23" s="3" t="s">
        <v>7</v>
      </c>
      <c r="B23" s="4" t="s">
        <v>77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55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25">
      <c r="A24" s="3" t="s">
        <v>7</v>
      </c>
      <c r="B24" s="4" t="s">
        <v>78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55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25">
      <c r="A25" s="3" t="s">
        <v>7</v>
      </c>
      <c r="B25" s="4" t="s">
        <v>79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55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25">
      <c r="A26" s="3" t="s">
        <v>7</v>
      </c>
      <c r="B26" s="4" t="s">
        <v>80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55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25">
      <c r="A27" s="3" t="s">
        <v>7</v>
      </c>
      <c r="B27" s="4" t="s">
        <v>81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55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25">
      <c r="A28" s="3" t="s">
        <v>7</v>
      </c>
      <c r="B28" s="4" t="s">
        <v>82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55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25">
      <c r="A29" s="3" t="s">
        <v>8</v>
      </c>
      <c r="B29" s="4" t="s">
        <v>83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55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25">
      <c r="A30" s="3" t="s">
        <v>8</v>
      </c>
      <c r="B30" s="4" t="s">
        <v>84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55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25">
      <c r="A31" s="3" t="s">
        <v>8</v>
      </c>
      <c r="B31" s="4" t="s">
        <v>85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55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25">
      <c r="A32" s="3" t="s">
        <v>8</v>
      </c>
      <c r="B32" s="4" t="s">
        <v>86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55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25">
      <c r="A33" s="3" t="s">
        <v>8</v>
      </c>
      <c r="B33" s="4" t="s">
        <v>87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55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25">
      <c r="A34" s="3" t="s">
        <v>8</v>
      </c>
      <c r="B34" s="4" t="s">
        <v>88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ref="G34:G65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55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25">
      <c r="A35" s="3" t="s">
        <v>9</v>
      </c>
      <c r="B35" s="4" t="s">
        <v>89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55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25">
      <c r="A36" s="3" t="s">
        <v>9</v>
      </c>
      <c r="B36" s="4" t="s">
        <v>90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55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25">
      <c r="A37" s="3" t="s">
        <v>9</v>
      </c>
      <c r="B37" s="4" t="s">
        <v>91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55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25">
      <c r="A38" s="3" t="s">
        <v>9</v>
      </c>
      <c r="B38" s="4" t="s">
        <v>92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55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25">
      <c r="A39" s="3" t="s">
        <v>9</v>
      </c>
      <c r="B39" s="4" t="s">
        <v>93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55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25">
      <c r="A40" s="3" t="s">
        <v>9</v>
      </c>
      <c r="B40" s="4" t="s">
        <v>94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73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25">
      <c r="A41" s="3" t="s">
        <v>9</v>
      </c>
      <c r="B41" s="4" t="s">
        <v>95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73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25">
      <c r="A42" s="3" t="s">
        <v>9</v>
      </c>
      <c r="B42" s="4" t="s">
        <v>96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73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25">
      <c r="A43" s="3" t="s">
        <v>9</v>
      </c>
      <c r="B43" s="4" t="s">
        <v>97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73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25">
      <c r="A44" s="3" t="s">
        <v>9</v>
      </c>
      <c r="B44" s="4" t="s">
        <v>98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73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25">
      <c r="A45" s="3" t="s">
        <v>9</v>
      </c>
      <c r="B45" s="4" t="s">
        <v>99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73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25">
      <c r="A46" s="3" t="s">
        <v>10</v>
      </c>
      <c r="B46" s="4" t="s">
        <v>100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55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25">
      <c r="A47" s="3" t="s">
        <v>10</v>
      </c>
      <c r="B47" s="4" t="s">
        <v>101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55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25">
      <c r="A48" s="3" t="s">
        <v>10</v>
      </c>
      <c r="B48" s="4" t="s">
        <v>102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55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25">
      <c r="A49" s="3" t="s">
        <v>10</v>
      </c>
      <c r="B49" s="4" t="s">
        <v>103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55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25">
      <c r="A50" s="3" t="s">
        <v>10</v>
      </c>
      <c r="B50" s="4" t="s">
        <v>104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55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25">
      <c r="A51" s="3" t="s">
        <v>10</v>
      </c>
      <c r="B51" s="4" t="s">
        <v>105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55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25">
      <c r="A52" s="3" t="s">
        <v>10</v>
      </c>
      <c r="B52" s="4" t="s">
        <v>106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73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25">
      <c r="A53" s="3" t="s">
        <v>10</v>
      </c>
      <c r="B53" s="4" t="s">
        <v>107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73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25">
      <c r="A54" s="3" t="s">
        <v>10</v>
      </c>
      <c r="B54" s="4" t="s">
        <v>108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73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25">
      <c r="A55" s="3" t="s">
        <v>10</v>
      </c>
      <c r="B55" s="4" t="s">
        <v>109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73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25">
      <c r="A56" s="3" t="s">
        <v>10</v>
      </c>
      <c r="B56" s="4" t="s">
        <v>110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73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25">
      <c r="A57" s="3" t="s">
        <v>11</v>
      </c>
      <c r="B57" s="4" t="s">
        <v>111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55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25">
      <c r="A58" s="3" t="s">
        <v>11</v>
      </c>
      <c r="B58" s="4" t="s">
        <v>112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55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25">
      <c r="A59" s="3" t="s">
        <v>11</v>
      </c>
      <c r="B59" s="4" t="s">
        <v>113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73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25">
      <c r="A60" s="3" t="s">
        <v>11</v>
      </c>
      <c r="B60" s="4" t="s">
        <v>114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73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25">
      <c r="A61" s="3" t="s">
        <v>11</v>
      </c>
      <c r="B61" s="4" t="s">
        <v>115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73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25">
      <c r="A62" s="3" t="s">
        <v>12</v>
      </c>
      <c r="B62" s="4" t="s">
        <v>116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55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25">
      <c r="A63" s="3" t="s">
        <v>12</v>
      </c>
      <c r="B63" s="4" t="s">
        <v>117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55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25">
      <c r="A64" s="3" t="s">
        <v>12</v>
      </c>
      <c r="B64" s="4" t="s">
        <v>118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55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25">
      <c r="A65" s="3" t="s">
        <v>13</v>
      </c>
      <c r="B65" s="4" t="s">
        <v>119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55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25">
      <c r="A66" s="3" t="s">
        <v>14</v>
      </c>
      <c r="B66" s="4" t="s">
        <v>120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97" si="3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55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25">
      <c r="A67" s="3" t="s">
        <v>15</v>
      </c>
      <c r="B67" s="4" t="s">
        <v>121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3"/>
        <v>0.931881051175657</v>
      </c>
      <c r="H67" s="12" t="str">
        <f t="shared" ref="H67:H130" si="4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73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25">
      <c r="A68" s="3" t="s">
        <v>15</v>
      </c>
      <c r="B68" s="4" t="s">
        <v>122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3"/>
        <v>0.63714153561517117</v>
      </c>
      <c r="H68" s="12" t="str">
        <f t="shared" si="4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73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25">
      <c r="A69" s="3" t="s">
        <v>15</v>
      </c>
      <c r="B69" s="4" t="s">
        <v>123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3"/>
        <v>0.69938650306748462</v>
      </c>
      <c r="H69" s="12" t="str">
        <f t="shared" si="4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73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25">
      <c r="A70" s="3" t="s">
        <v>16</v>
      </c>
      <c r="B70" s="4" t="s">
        <v>124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3"/>
        <v>0.85621329947627356</v>
      </c>
      <c r="H70" s="12" t="str">
        <f t="shared" si="4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55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25">
      <c r="A71" s="3" t="s">
        <v>16</v>
      </c>
      <c r="B71" s="4" t="s">
        <v>125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3"/>
        <v>0.8484327469911388</v>
      </c>
      <c r="H71" s="12" t="str">
        <f t="shared" si="4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55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25">
      <c r="A72" s="3" t="s">
        <v>16</v>
      </c>
      <c r="B72" s="4" t="s">
        <v>126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3"/>
        <v>0.84126984126984128</v>
      </c>
      <c r="H72" s="12" t="str">
        <f t="shared" si="4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55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25">
      <c r="A73" s="3" t="s">
        <v>16</v>
      </c>
      <c r="B73" s="4" t="s">
        <v>127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3"/>
        <v>0.74761596148504772</v>
      </c>
      <c r="H73" s="12" t="str">
        <f t="shared" si="4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55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25">
      <c r="A74" s="3" t="s">
        <v>16</v>
      </c>
      <c r="B74" s="4" t="s">
        <v>128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3"/>
        <v>0.72988936028616591</v>
      </c>
      <c r="H74" s="12" t="str">
        <f t="shared" si="4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73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25">
      <c r="A75" s="3" t="s">
        <v>16</v>
      </c>
      <c r="B75" s="4" t="s">
        <v>129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3"/>
        <v>0.84207484467562488</v>
      </c>
      <c r="H75" s="12" t="str">
        <f t="shared" si="4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73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25">
      <c r="A76" s="3" t="s">
        <v>17</v>
      </c>
      <c r="B76" s="4" t="s">
        <v>130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3"/>
        <v>0.52520470829068577</v>
      </c>
      <c r="H76" s="12" t="str">
        <f t="shared" si="4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55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25">
      <c r="A77" s="3" t="s">
        <v>17</v>
      </c>
      <c r="B77" s="4" t="s">
        <v>131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3"/>
        <v>0.5013847219016847</v>
      </c>
      <c r="H77" s="12" t="str">
        <f t="shared" si="4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55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25">
      <c r="A78" s="3" t="s">
        <v>17</v>
      </c>
      <c r="B78" s="4" t="s">
        <v>132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3"/>
        <v>0.48675574308485703</v>
      </c>
      <c r="H78" s="12" t="str">
        <f t="shared" si="4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73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25">
      <c r="A79" s="3" t="s">
        <v>20</v>
      </c>
      <c r="B79" s="4" t="s">
        <v>133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3"/>
        <v>0.59519553871452058</v>
      </c>
      <c r="H79" s="12" t="str">
        <f t="shared" si="4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55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25">
      <c r="A80" s="3" t="s">
        <v>20</v>
      </c>
      <c r="B80" s="4" t="s">
        <v>134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3"/>
        <v>0.54575523704520401</v>
      </c>
      <c r="H80" s="12" t="str">
        <f t="shared" si="4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55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25">
      <c r="A81" s="3" t="s">
        <v>20</v>
      </c>
      <c r="B81" s="4" t="s">
        <v>135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3"/>
        <v>0.61041654663824396</v>
      </c>
      <c r="H81" s="12" t="str">
        <f t="shared" si="4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55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25">
      <c r="A82" s="3" t="s">
        <v>20</v>
      </c>
      <c r="B82" s="4" t="s">
        <v>136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3"/>
        <v>0.66307956954834579</v>
      </c>
      <c r="H82" s="12" t="str">
        <f t="shared" si="4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55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25">
      <c r="A83" s="3" t="s">
        <v>20</v>
      </c>
      <c r="B83" s="4" t="s">
        <v>137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3"/>
        <v>0.82278978388998036</v>
      </c>
      <c r="H83" s="12" t="str">
        <f t="shared" si="4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55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25">
      <c r="A84" s="3" t="s">
        <v>20</v>
      </c>
      <c r="B84" s="4" t="s">
        <v>138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3"/>
        <v>0.601282736504543</v>
      </c>
      <c r="H84" s="12" t="str">
        <f t="shared" si="4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73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25">
      <c r="A85" s="3" t="s">
        <v>20</v>
      </c>
      <c r="B85" s="4" t="s">
        <v>139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3"/>
        <v>0.6161495094775159</v>
      </c>
      <c r="H85" s="12" t="str">
        <f t="shared" si="4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73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25">
      <c r="A86" s="3" t="s">
        <v>19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3"/>
        <v>0.54187192118226613</v>
      </c>
      <c r="H86" s="12" t="str">
        <f t="shared" si="4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55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25">
      <c r="A87" s="3" t="s">
        <v>19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3"/>
        <v>0.83978234582829503</v>
      </c>
      <c r="H87" s="12" t="str">
        <f t="shared" si="4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55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25">
      <c r="A88" s="3" t="s">
        <v>19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3"/>
        <v>0.57945889151562913</v>
      </c>
      <c r="H88" s="12" t="str">
        <f t="shared" si="4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55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25">
      <c r="A89" s="3" t="s">
        <v>19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3"/>
        <v>0.65804025658040255</v>
      </c>
      <c r="H89" s="12" t="str">
        <f t="shared" si="4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55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25">
      <c r="A90" s="3" t="s">
        <v>19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3"/>
        <v>0.74129172714078373</v>
      </c>
      <c r="H90" s="12" t="str">
        <f t="shared" si="4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73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25">
      <c r="A91" s="3" t="s">
        <v>19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3"/>
        <v>0.65726343847179036</v>
      </c>
      <c r="H91" s="12" t="str">
        <f t="shared" si="4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73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25">
      <c r="A92" s="3" t="s">
        <v>18</v>
      </c>
      <c r="B92" s="4" t="s">
        <v>146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3"/>
        <v>0.82047244094488192</v>
      </c>
      <c r="H92" s="12" t="str">
        <f t="shared" si="4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55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25">
      <c r="A93" s="3" t="s">
        <v>18</v>
      </c>
      <c r="B93" s="4" t="s">
        <v>147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3"/>
        <v>0.83066132264529058</v>
      </c>
      <c r="H93" s="12" t="str">
        <f t="shared" si="4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55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25">
      <c r="A94" s="3" t="s">
        <v>18</v>
      </c>
      <c r="B94" s="4" t="s">
        <v>148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3"/>
        <v>0.72274031563845054</v>
      </c>
      <c r="H94" s="12" t="str">
        <f t="shared" si="4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55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25">
      <c r="A95" s="3" t="s">
        <v>18</v>
      </c>
      <c r="B95" s="4" t="s">
        <v>149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3"/>
        <v>0.70944309927360771</v>
      </c>
      <c r="H95" s="12" t="str">
        <f t="shared" si="4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55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25">
      <c r="A96" s="3" t="s">
        <v>18</v>
      </c>
      <c r="B96" s="4" t="s">
        <v>150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3"/>
        <v>0.83383033419023134</v>
      </c>
      <c r="H96" s="12" t="str">
        <f t="shared" si="4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55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25">
      <c r="A97" s="3" t="s">
        <v>18</v>
      </c>
      <c r="B97" s="4" t="s">
        <v>151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3"/>
        <v>0.69841463414634142</v>
      </c>
      <c r="H97" s="12" t="str">
        <f t="shared" si="4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55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25">
      <c r="A98" s="3" t="s">
        <v>18</v>
      </c>
      <c r="B98" s="4" t="s">
        <v>152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ref="G98:G129" si="5">SUM(F98/E98)</f>
        <v>0.70192307692307687</v>
      </c>
      <c r="H98" s="12" t="str">
        <f t="shared" si="4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55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25">
      <c r="A99" s="3" t="s">
        <v>18</v>
      </c>
      <c r="B99" s="4" t="s">
        <v>153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5"/>
        <v>0.74178947368421055</v>
      </c>
      <c r="H99" s="12" t="str">
        <f t="shared" si="4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55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25">
      <c r="A100" s="3" t="s">
        <v>18</v>
      </c>
      <c r="B100" s="4" t="s">
        <v>154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5"/>
        <v>0.81359773371104815</v>
      </c>
      <c r="H100" s="12" t="str">
        <f t="shared" si="4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73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25">
      <c r="A101" s="3" t="s">
        <v>21</v>
      </c>
      <c r="B101" s="4" t="s">
        <v>155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5"/>
        <v>0.62597229424401812</v>
      </c>
      <c r="H101" s="12" t="str">
        <f t="shared" si="4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55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25">
      <c r="A102" s="3" t="s">
        <v>21</v>
      </c>
      <c r="B102" s="4" t="s">
        <v>156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5"/>
        <v>0.55394801373222169</v>
      </c>
      <c r="H102" s="12" t="str">
        <f t="shared" si="4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55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25">
      <c r="A103" s="3" t="s">
        <v>21</v>
      </c>
      <c r="B103" s="4" t="s">
        <v>157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5"/>
        <v>0.57621242714008147</v>
      </c>
      <c r="H103" s="12" t="str">
        <f t="shared" si="4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55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25">
      <c r="A104" s="3" t="s">
        <v>21</v>
      </c>
      <c r="B104" s="4" t="s">
        <v>158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5"/>
        <v>0.58259782567521501</v>
      </c>
      <c r="H104" s="12" t="str">
        <f t="shared" si="4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73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25">
      <c r="A105" s="3" t="s">
        <v>21</v>
      </c>
      <c r="B105" s="4" t="s">
        <v>159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5"/>
        <v>0.60787057578756953</v>
      </c>
      <c r="H105" s="12" t="str">
        <f t="shared" si="4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73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25">
      <c r="A106" s="3" t="s">
        <v>21</v>
      </c>
      <c r="B106" s="4" t="s">
        <v>160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5"/>
        <v>0.57427957366551163</v>
      </c>
      <c r="H106" s="12" t="str">
        <f t="shared" si="4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73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25">
      <c r="A107" s="3" t="s">
        <v>21</v>
      </c>
      <c r="B107" s="4" t="s">
        <v>161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5"/>
        <v>0.59642258244829516</v>
      </c>
      <c r="H107" s="12" t="str">
        <f t="shared" si="4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73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25">
      <c r="A108" s="3" t="s">
        <v>22</v>
      </c>
      <c r="B108" s="4" t="s">
        <v>162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5"/>
        <v>0.61945439515017908</v>
      </c>
      <c r="H108" s="12" t="str">
        <f t="shared" si="4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55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25">
      <c r="A109" s="3" t="s">
        <v>22</v>
      </c>
      <c r="B109" s="4" t="s">
        <v>163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5"/>
        <v>0.70807453416149069</v>
      </c>
      <c r="H109" s="12" t="str">
        <f t="shared" si="4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55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25">
      <c r="A110" s="3" t="s">
        <v>22</v>
      </c>
      <c r="B110" s="4" t="s">
        <v>164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5"/>
        <v>0.62720306513409962</v>
      </c>
      <c r="H110" s="12" t="str">
        <f t="shared" si="4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55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25">
      <c r="A111" s="3" t="s">
        <v>22</v>
      </c>
      <c r="B111" s="4" t="s">
        <v>165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5"/>
        <v>0.54900770101300067</v>
      </c>
      <c r="H111" s="12" t="str">
        <f t="shared" si="4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55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25">
      <c r="A112" s="3" t="s">
        <v>22</v>
      </c>
      <c r="B112" s="4" t="s">
        <v>166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5"/>
        <v>0.63057788467624531</v>
      </c>
      <c r="H112" s="12" t="str">
        <f t="shared" si="4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73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25">
      <c r="A113" s="3" t="s">
        <v>22</v>
      </c>
      <c r="B113" s="4" t="s">
        <v>167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5"/>
        <v>0.60130203195896625</v>
      </c>
      <c r="H113" s="12" t="str">
        <f t="shared" si="4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73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25">
      <c r="A114" s="3" t="s">
        <v>23</v>
      </c>
      <c r="B114" s="4" t="s">
        <v>89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5"/>
        <v>0.61313291139240511</v>
      </c>
      <c r="H114" s="12" t="str">
        <f t="shared" si="4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55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25">
      <c r="A115" s="3" t="s">
        <v>23</v>
      </c>
      <c r="B115" s="4" t="s">
        <v>168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5"/>
        <v>0.60945273631840802</v>
      </c>
      <c r="H115" s="12" t="str">
        <f t="shared" si="4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55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25">
      <c r="A116" s="3" t="s">
        <v>23</v>
      </c>
      <c r="B116" s="4" t="s">
        <v>169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5"/>
        <v>0.63793103448275867</v>
      </c>
      <c r="H116" s="12" t="str">
        <f t="shared" si="4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73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25">
      <c r="A117" s="3" t="s">
        <v>23</v>
      </c>
      <c r="B117" s="4" t="s">
        <v>170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5"/>
        <v>0.70776744186046514</v>
      </c>
      <c r="H117" s="12" t="str">
        <f t="shared" si="4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55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25">
      <c r="A118" s="3" t="s">
        <v>24</v>
      </c>
      <c r="B118" s="4" t="s">
        <v>171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5"/>
        <v>0.6381304951411384</v>
      </c>
      <c r="H118" s="12" t="str">
        <f t="shared" si="4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55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25">
      <c r="A119" s="3" t="s">
        <v>24</v>
      </c>
      <c r="B119" s="4" t="s">
        <v>172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5"/>
        <v>0.52180527383367137</v>
      </c>
      <c r="H119" s="12" t="str">
        <f t="shared" si="4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55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25">
      <c r="A120" s="3" t="s">
        <v>24</v>
      </c>
      <c r="B120" s="4" t="s">
        <v>173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5"/>
        <v>0.70347688660608454</v>
      </c>
      <c r="H120" s="12" t="str">
        <f t="shared" si="4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55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25">
      <c r="A121" s="3" t="s">
        <v>24</v>
      </c>
      <c r="B121" s="4" t="s">
        <v>174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5"/>
        <v>0.6466651280867759</v>
      </c>
      <c r="H121" s="12" t="str">
        <f t="shared" si="4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55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25">
      <c r="A122" s="3" t="s">
        <v>24</v>
      </c>
      <c r="B122" s="4" t="s">
        <v>175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5"/>
        <v>0.55672490002104824</v>
      </c>
      <c r="H122" s="12" t="str">
        <f t="shared" si="4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55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25">
      <c r="A123" s="3" t="s">
        <v>24</v>
      </c>
      <c r="B123" s="4" t="s">
        <v>176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5"/>
        <v>0.55451531109810803</v>
      </c>
      <c r="H123" s="12" t="str">
        <f t="shared" si="4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73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25">
      <c r="A124" s="3" t="s">
        <v>25</v>
      </c>
      <c r="B124" s="4" t="s">
        <v>177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5"/>
        <v>0.99565532223026787</v>
      </c>
      <c r="H124" s="12" t="str">
        <f t="shared" si="4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55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25">
      <c r="A125" s="3" t="s">
        <v>25</v>
      </c>
      <c r="B125" s="4" t="s">
        <v>178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5"/>
        <v>0.85363277949873273</v>
      </c>
      <c r="H125" s="12" t="str">
        <f t="shared" si="4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55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25">
      <c r="A126" s="3" t="s">
        <v>25</v>
      </c>
      <c r="B126" s="4" t="s">
        <v>179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5"/>
        <v>0.90102707749766575</v>
      </c>
      <c r="H126" s="12" t="str">
        <f t="shared" si="4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55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25">
      <c r="A127" s="3" t="s">
        <v>26</v>
      </c>
      <c r="B127" s="7" t="s">
        <v>180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5"/>
        <v>0.68807367149758458</v>
      </c>
      <c r="H127" s="12" t="str">
        <f t="shared" si="4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55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25">
      <c r="A128" s="3" t="s">
        <v>26</v>
      </c>
      <c r="B128" s="7" t="s">
        <v>181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5"/>
        <v>0.69942528735632181</v>
      </c>
      <c r="H128" s="12" t="str">
        <f t="shared" si="4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55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25">
      <c r="A129" s="3" t="s">
        <v>27</v>
      </c>
      <c r="B129" s="4" t="s">
        <v>182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5"/>
        <v>0.86102012166588671</v>
      </c>
      <c r="H129" s="12" t="str">
        <f t="shared" si="4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55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25">
      <c r="A130" s="3" t="s">
        <v>27</v>
      </c>
      <c r="B130" s="4" t="s">
        <v>183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6">SUM(F130/E130)</f>
        <v>0.84483446350219382</v>
      </c>
      <c r="H130" s="12" t="str">
        <f t="shared" si="4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55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25">
      <c r="A131" s="3" t="s">
        <v>27</v>
      </c>
      <c r="B131" s="4" t="s">
        <v>184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6"/>
        <v>0.75507347795661306</v>
      </c>
      <c r="H131" s="12" t="str">
        <f t="shared" ref="H131:H156" si="7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55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25">
      <c r="A132" s="3" t="s">
        <v>27</v>
      </c>
      <c r="B132" s="4" t="s">
        <v>185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6"/>
        <v>0.72736925935757901</v>
      </c>
      <c r="H132" s="12" t="str">
        <f t="shared" si="7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55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25">
      <c r="A133" s="3" t="s">
        <v>27</v>
      </c>
      <c r="B133" s="4" t="s">
        <v>186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6"/>
        <v>0.65956029313790809</v>
      </c>
      <c r="H133" s="12" t="str">
        <f t="shared" si="7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55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25">
      <c r="A134" s="3" t="s">
        <v>28</v>
      </c>
      <c r="B134" s="4" t="s">
        <v>187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6"/>
        <v>0.73892927957699939</v>
      </c>
      <c r="H134" s="12" t="str">
        <f t="shared" si="7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55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25">
      <c r="A135" s="3" t="s">
        <v>28</v>
      </c>
      <c r="B135" s="4" t="s">
        <v>188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6"/>
        <v>0.73809405324707644</v>
      </c>
      <c r="H135" s="12" t="str">
        <f t="shared" si="7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73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25">
      <c r="A136" s="3" t="s">
        <v>29</v>
      </c>
      <c r="B136" s="4" t="s">
        <v>193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6"/>
        <v>0.76480012206286241</v>
      </c>
      <c r="H136" s="12" t="str">
        <f t="shared" si="7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55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25">
      <c r="A137" s="3" t="s">
        <v>29</v>
      </c>
      <c r="B137" s="4" t="s">
        <v>191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6"/>
        <v>0.75607946112569924</v>
      </c>
      <c r="H137" s="12" t="str">
        <f t="shared" si="7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55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25">
      <c r="A138" s="3" t="s">
        <v>29</v>
      </c>
      <c r="B138" s="4" t="s">
        <v>190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6"/>
        <v>0.71011939714229788</v>
      </c>
      <c r="H138" s="12" t="str">
        <f t="shared" si="7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55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25">
      <c r="A139" s="3" t="s">
        <v>29</v>
      </c>
      <c r="B139" s="4" t="s">
        <v>192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 t="shared" si="6"/>
        <v>0.91525925925925922</v>
      </c>
      <c r="H139" s="12" t="str">
        <f t="shared" si="7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55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25">
      <c r="A140" s="3" t="s">
        <v>29</v>
      </c>
      <c r="B140" s="4" t="s">
        <v>197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6"/>
        <v>0.83058639833448988</v>
      </c>
      <c r="H140" s="12" t="str">
        <f t="shared" si="7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73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25">
      <c r="A141" s="3" t="s">
        <v>29</v>
      </c>
      <c r="B141" s="4" t="s">
        <v>196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6"/>
        <v>0.83552396280400576</v>
      </c>
      <c r="H141" s="12" t="str">
        <f t="shared" si="7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73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25">
      <c r="A142" s="3" t="s">
        <v>29</v>
      </c>
      <c r="B142" s="4" t="s">
        <v>195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6"/>
        <v>0.78902179062055899</v>
      </c>
      <c r="H142" s="12" t="str">
        <f t="shared" si="7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73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25">
      <c r="A143" s="3" t="s">
        <v>29</v>
      </c>
      <c r="B143" s="4" t="s">
        <v>189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6"/>
        <v>0.87154522613065322</v>
      </c>
      <c r="H143" s="12" t="str">
        <f t="shared" si="7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73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25">
      <c r="A144" s="3" t="s">
        <v>29</v>
      </c>
      <c r="B144" s="4" t="s">
        <v>194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6"/>
        <v>0.65883080729972165</v>
      </c>
      <c r="H144" s="12" t="str">
        <f t="shared" si="7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73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25">
      <c r="A145" s="3" t="s">
        <v>30</v>
      </c>
      <c r="B145" s="4" t="s">
        <v>198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6"/>
        <v>0.76677852348993292</v>
      </c>
      <c r="H145" s="12" t="str">
        <f t="shared" si="7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55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25">
      <c r="A146" s="3" t="s">
        <v>30</v>
      </c>
      <c r="B146" s="4" t="s">
        <v>199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6"/>
        <v>0.792814371257485</v>
      </c>
      <c r="H146" s="12" t="str">
        <f t="shared" si="7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55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25">
      <c r="A147" s="3" t="s">
        <v>30</v>
      </c>
      <c r="B147" s="4" t="s">
        <v>200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6"/>
        <v>0.78891509433962259</v>
      </c>
      <c r="H147" s="12" t="str">
        <f t="shared" si="7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55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25">
      <c r="A148" s="3" t="s">
        <v>30</v>
      </c>
      <c r="B148" s="4" t="s">
        <v>201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6"/>
        <v>0.82916458229114554</v>
      </c>
      <c r="H148" s="12" t="str">
        <f t="shared" si="7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55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25">
      <c r="A149" s="3" t="s">
        <v>30</v>
      </c>
      <c r="B149" s="4" t="s">
        <v>202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6"/>
        <v>0.78628571428571425</v>
      </c>
      <c r="H149" s="12" t="str">
        <f t="shared" si="7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55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25">
      <c r="A150" s="3" t="s">
        <v>30</v>
      </c>
      <c r="B150" s="4" t="s">
        <v>203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6"/>
        <v>0.75383647798742137</v>
      </c>
      <c r="H150" s="12" t="str">
        <f t="shared" si="7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55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25">
      <c r="A151" s="3" t="s">
        <v>31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6"/>
        <v>0.61256410256410254</v>
      </c>
      <c r="H151" s="12" t="str">
        <f t="shared" si="7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55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25">
      <c r="A152" s="3" t="s">
        <v>31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6"/>
        <v>0.62508196721311471</v>
      </c>
      <c r="H152" s="12" t="str">
        <f t="shared" si="7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55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25">
      <c r="A153" s="3" t="s">
        <v>31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6"/>
        <v>0.68727272727272726</v>
      </c>
      <c r="H153" s="12" t="str">
        <f t="shared" si="7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55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25">
      <c r="A154" s="3" t="s">
        <v>31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6"/>
        <v>0.70218749999999996</v>
      </c>
      <c r="H154" s="12" t="str">
        <f t="shared" si="7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55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25">
      <c r="A155" s="3" t="s">
        <v>31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6"/>
        <v>0.75109890109890109</v>
      </c>
      <c r="H155" s="12" t="str">
        <f t="shared" si="7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55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25">
      <c r="A156" s="3" t="s">
        <v>31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6"/>
        <v>0.73341666666666672</v>
      </c>
      <c r="H156" s="12" t="str">
        <f t="shared" si="7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55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3" priority="1" operator="containsText" text="POOR">
      <formula>NOT(ISERROR(SEARCH("POOR",H2)))</formula>
    </cfRule>
    <cfRule type="containsText" dxfId="2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zoomScaleNormal="100" workbookViewId="0">
      <selection activeCell="J2" sqref="J2"/>
    </sheetView>
  </sheetViews>
  <sheetFormatPr defaultColWidth="9.140625" defaultRowHeight="15" x14ac:dyDescent="0.25"/>
  <cols>
    <col min="1" max="1" width="15.28515625" customWidth="1"/>
    <col min="2" max="2" width="15.42578125" bestFit="1" customWidth="1"/>
    <col min="3" max="3" width="20.42578125" bestFit="1" customWidth="1"/>
    <col min="4" max="4" width="12.7109375" style="9" customWidth="1"/>
    <col min="5" max="5" width="19.42578125" bestFit="1" customWidth="1"/>
    <col min="6" max="6" width="14" customWidth="1"/>
    <col min="7" max="7" width="17.42578125" customWidth="1"/>
    <col min="8" max="8" width="13.140625" customWidth="1"/>
    <col min="9" max="9" width="14" customWidth="1"/>
    <col min="10" max="10" width="11.28515625" bestFit="1" customWidth="1"/>
    <col min="11" max="11" width="15" bestFit="1" customWidth="1"/>
    <col min="12" max="12" width="16.28515625" bestFit="1" customWidth="1"/>
    <col min="13" max="13" width="19.140625" bestFit="1" customWidth="1"/>
    <col min="14" max="14" width="13.42578125" bestFit="1" customWidth="1"/>
    <col min="15" max="15" width="8.85546875" bestFit="1" customWidth="1"/>
    <col min="16" max="16" width="9.28515625" bestFit="1" customWidth="1"/>
    <col min="17" max="17" width="14.42578125" bestFit="1" customWidth="1"/>
    <col min="18" max="18" width="13.140625" customWidth="1"/>
    <col min="19" max="19" width="15.140625" bestFit="1" customWidth="1"/>
    <col min="20" max="22" width="8.85546875"/>
    <col min="23" max="23" width="11.28515625" bestFit="1" customWidth="1"/>
    <col min="24" max="24" width="7.42578125" bestFit="1" customWidth="1"/>
    <col min="25" max="25" width="11.42578125" bestFit="1" customWidth="1"/>
    <col min="26" max="26" width="7.85546875" bestFit="1" customWidth="1"/>
    <col min="27" max="27" width="16.42578125" bestFit="1" customWidth="1"/>
  </cols>
  <sheetData>
    <row r="1" spans="1:23" s="1" customFormat="1" x14ac:dyDescent="0.25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25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25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25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25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25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25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25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25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25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25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25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25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25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25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25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25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25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25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25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25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x14ac:dyDescent="0.25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25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25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25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25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25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25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25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25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25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25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25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25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25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25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25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25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25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25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25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25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25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25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25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25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25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25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25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25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25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25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25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25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25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25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25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25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25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25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25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25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25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25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25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25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25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25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25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25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25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25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25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25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25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25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25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25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25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25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25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25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25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25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25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25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25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25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25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25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25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25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25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25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25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25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25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25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25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25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25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25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25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25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25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25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25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25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25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25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25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25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25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25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25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25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25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25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25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25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25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25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25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25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25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25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25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25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25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25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25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25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25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25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25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25">
      <c r="A136" s="3" t="s">
        <v>29</v>
      </c>
      <c r="B136" s="4" t="s">
        <v>193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55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25">
      <c r="A137" s="3" t="s">
        <v>29</v>
      </c>
      <c r="B137" s="4" t="s">
        <v>191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25">
      <c r="A138" s="3" t="s">
        <v>29</v>
      </c>
      <c r="B138" s="4" t="s">
        <v>190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25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25">
      <c r="A140" s="3" t="s">
        <v>29</v>
      </c>
      <c r="B140" s="4" t="s">
        <v>197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25">
      <c r="A141" s="3" t="s">
        <v>29</v>
      </c>
      <c r="B141" s="4" t="s">
        <v>196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25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25">
      <c r="A143" s="3" t="s">
        <v>29</v>
      </c>
      <c r="B143" s="4" t="s">
        <v>189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25">
      <c r="A144" s="3" t="s">
        <v>29</v>
      </c>
      <c r="B144" s="4" t="s">
        <v>194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25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25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25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25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25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25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25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25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25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25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25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25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1" priority="3" operator="containsText" text="POOR">
      <formula>NOT(ISERROR(SEARCH("POOR",G2)))</formula>
    </cfRule>
    <cfRule type="containsText" dxfId="0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C726-4896-4C5D-865B-04E3BDFE9B1D}">
  <dimension ref="A3:C37"/>
  <sheetViews>
    <sheetView topLeftCell="A23" workbookViewId="0">
      <selection activeCell="E9" sqref="E9"/>
    </sheetView>
  </sheetViews>
  <sheetFormatPr defaultRowHeight="15" x14ac:dyDescent="0.25"/>
  <cols>
    <col min="1" max="1" width="13.5703125" bestFit="1" customWidth="1"/>
    <col min="2" max="2" width="27.42578125" style="18" bestFit="1" customWidth="1"/>
    <col min="3" max="3" width="15.5703125" style="18" bestFit="1" customWidth="1"/>
  </cols>
  <sheetData>
    <row r="3" spans="1:3" x14ac:dyDescent="0.25">
      <c r="A3" s="15" t="s">
        <v>0</v>
      </c>
      <c r="B3" s="43" t="s">
        <v>33</v>
      </c>
      <c r="C3" s="18" t="s">
        <v>34</v>
      </c>
    </row>
    <row r="4" spans="1:3" x14ac:dyDescent="0.25">
      <c r="A4" s="16" t="s">
        <v>2</v>
      </c>
      <c r="B4" s="18">
        <v>21986.666666666668</v>
      </c>
      <c r="C4" s="18">
        <v>30633.333333333332</v>
      </c>
    </row>
    <row r="5" spans="1:3" x14ac:dyDescent="0.25">
      <c r="A5" s="16" t="s">
        <v>3</v>
      </c>
      <c r="B5" s="18">
        <v>28270</v>
      </c>
      <c r="C5" s="18">
        <v>39980</v>
      </c>
    </row>
    <row r="6" spans="1:3" x14ac:dyDescent="0.25">
      <c r="A6" s="16" t="s">
        <v>4</v>
      </c>
      <c r="B6" s="18">
        <v>29766.666666666668</v>
      </c>
      <c r="C6" s="18">
        <v>33096.666666666664</v>
      </c>
    </row>
    <row r="7" spans="1:3" x14ac:dyDescent="0.25">
      <c r="A7" s="16" t="s">
        <v>5</v>
      </c>
      <c r="B7" s="18">
        <v>14941.25</v>
      </c>
      <c r="C7" s="18">
        <v>26781.25</v>
      </c>
    </row>
    <row r="8" spans="1:3" x14ac:dyDescent="0.25">
      <c r="A8" s="16" t="s">
        <v>6</v>
      </c>
      <c r="B8" s="18">
        <v>24964</v>
      </c>
      <c r="C8" s="18">
        <v>40254</v>
      </c>
    </row>
    <row r="9" spans="1:3" x14ac:dyDescent="0.25">
      <c r="A9" s="16" t="s">
        <v>7</v>
      </c>
      <c r="B9" s="18">
        <v>13043.888888888889</v>
      </c>
      <c r="C9" s="18">
        <v>21133.888888888891</v>
      </c>
    </row>
    <row r="10" spans="1:3" x14ac:dyDescent="0.25">
      <c r="A10" s="16" t="s">
        <v>8</v>
      </c>
      <c r="B10" s="18">
        <v>14775.833333333334</v>
      </c>
      <c r="C10" s="18">
        <v>23430.833333333332</v>
      </c>
    </row>
    <row r="11" spans="1:3" x14ac:dyDescent="0.25">
      <c r="A11" s="16" t="s">
        <v>9</v>
      </c>
      <c r="B11" s="18">
        <v>17267.363636363636</v>
      </c>
      <c r="C11" s="18">
        <v>24213.636363636364</v>
      </c>
    </row>
    <row r="12" spans="1:3" x14ac:dyDescent="0.25">
      <c r="A12" s="16" t="s">
        <v>10</v>
      </c>
      <c r="B12" s="18">
        <v>12570</v>
      </c>
      <c r="C12" s="18">
        <v>21047.272727272728</v>
      </c>
    </row>
    <row r="13" spans="1:3" x14ac:dyDescent="0.25">
      <c r="A13" s="16" t="s">
        <v>11</v>
      </c>
      <c r="B13" s="18">
        <v>15557</v>
      </c>
      <c r="C13" s="18">
        <v>20277</v>
      </c>
    </row>
    <row r="14" spans="1:3" x14ac:dyDescent="0.25">
      <c r="A14" s="16" t="s">
        <v>12</v>
      </c>
      <c r="B14" s="18">
        <v>7531.666666666667</v>
      </c>
      <c r="C14" s="18">
        <v>12165.666666666666</v>
      </c>
    </row>
    <row r="15" spans="1:3" x14ac:dyDescent="0.25">
      <c r="A15" s="16" t="s">
        <v>13</v>
      </c>
      <c r="B15" s="18">
        <v>19690</v>
      </c>
      <c r="C15" s="18">
        <v>29465</v>
      </c>
    </row>
    <row r="16" spans="1:3" x14ac:dyDescent="0.25">
      <c r="A16" s="16" t="s">
        <v>14</v>
      </c>
      <c r="B16" s="18">
        <v>33219</v>
      </c>
      <c r="C16" s="18">
        <v>42800</v>
      </c>
    </row>
    <row r="17" spans="1:3" x14ac:dyDescent="0.25">
      <c r="A17" s="16" t="s">
        <v>15</v>
      </c>
      <c r="B17" s="18">
        <v>15353.333333333334</v>
      </c>
      <c r="C17" s="18">
        <v>20991.666666666668</v>
      </c>
    </row>
    <row r="18" spans="1:3" x14ac:dyDescent="0.25">
      <c r="A18" s="16" t="s">
        <v>16</v>
      </c>
      <c r="B18" s="18">
        <v>35231.666666666664</v>
      </c>
      <c r="C18" s="18">
        <v>44055</v>
      </c>
    </row>
    <row r="19" spans="1:3" x14ac:dyDescent="0.25">
      <c r="A19" s="16" t="s">
        <v>17</v>
      </c>
      <c r="B19" s="18">
        <v>21005</v>
      </c>
      <c r="C19" s="18">
        <v>41690</v>
      </c>
    </row>
    <row r="20" spans="1:3" x14ac:dyDescent="0.25">
      <c r="A20" s="16" t="s">
        <v>18</v>
      </c>
      <c r="B20" s="18">
        <v>39876.555555555555</v>
      </c>
      <c r="C20" s="18">
        <v>52916.666666666664</v>
      </c>
    </row>
    <row r="21" spans="1:3" x14ac:dyDescent="0.25">
      <c r="A21" s="16" t="s">
        <v>19</v>
      </c>
      <c r="B21" s="18">
        <v>13970</v>
      </c>
      <c r="C21" s="18">
        <v>20748.333333333332</v>
      </c>
    </row>
    <row r="22" spans="1:3" x14ac:dyDescent="0.25">
      <c r="A22" s="16" t="s">
        <v>20</v>
      </c>
      <c r="B22" s="18">
        <v>14262.142857142857</v>
      </c>
      <c r="C22" s="18">
        <v>22167.428571428572</v>
      </c>
    </row>
    <row r="23" spans="1:3" x14ac:dyDescent="0.25">
      <c r="A23" s="16" t="s">
        <v>21</v>
      </c>
      <c r="B23" s="18">
        <v>13117.571428571429</v>
      </c>
      <c r="C23" s="18">
        <v>22360.714285714286</v>
      </c>
    </row>
    <row r="24" spans="1:3" x14ac:dyDescent="0.25">
      <c r="A24" s="16" t="s">
        <v>22</v>
      </c>
      <c r="B24" s="18">
        <v>15809</v>
      </c>
      <c r="C24" s="18">
        <v>25622.833333333332</v>
      </c>
    </row>
    <row r="25" spans="1:3" x14ac:dyDescent="0.25">
      <c r="A25" s="16" t="s">
        <v>23</v>
      </c>
      <c r="B25" s="18">
        <v>15002.25</v>
      </c>
      <c r="C25" s="18">
        <v>22642.5</v>
      </c>
    </row>
    <row r="26" spans="1:3" x14ac:dyDescent="0.25">
      <c r="A26" s="16" t="s">
        <v>24</v>
      </c>
      <c r="B26" s="18">
        <v>13889.166666666666</v>
      </c>
      <c r="C26" s="18">
        <v>22949.166666666668</v>
      </c>
    </row>
    <row r="27" spans="1:3" x14ac:dyDescent="0.25">
      <c r="A27" s="16" t="s">
        <v>25</v>
      </c>
      <c r="B27" s="18">
        <v>56475</v>
      </c>
      <c r="C27" s="18">
        <v>62473.333333333336</v>
      </c>
    </row>
    <row r="28" spans="1:3" x14ac:dyDescent="0.25">
      <c r="A28" s="16" t="s">
        <v>26</v>
      </c>
      <c r="B28" s="18">
        <v>20522</v>
      </c>
      <c r="C28" s="18">
        <v>29610</v>
      </c>
    </row>
    <row r="29" spans="1:3" x14ac:dyDescent="0.25">
      <c r="A29" s="16" t="s">
        <v>27</v>
      </c>
      <c r="B29" s="18">
        <v>10836</v>
      </c>
      <c r="C29" s="18">
        <v>14271</v>
      </c>
    </row>
    <row r="30" spans="1:3" x14ac:dyDescent="0.25">
      <c r="A30" s="16" t="s">
        <v>28</v>
      </c>
      <c r="B30" s="18">
        <v>15801</v>
      </c>
      <c r="C30" s="18">
        <v>21395</v>
      </c>
    </row>
    <row r="31" spans="1:3" x14ac:dyDescent="0.25">
      <c r="A31" s="16" t="s">
        <v>29</v>
      </c>
      <c r="B31" s="18">
        <v>16883.222222222223</v>
      </c>
      <c r="C31" s="18">
        <v>21982.888888888891</v>
      </c>
    </row>
    <row r="32" spans="1:3" x14ac:dyDescent="0.25">
      <c r="A32" s="16" t="s">
        <v>30</v>
      </c>
      <c r="B32" s="18">
        <v>13951.833333333334</v>
      </c>
      <c r="C32" s="18">
        <v>17698.333333333332</v>
      </c>
    </row>
    <row r="33" spans="1:3" x14ac:dyDescent="0.25">
      <c r="A33" s="16" t="s">
        <v>31</v>
      </c>
      <c r="B33" s="18">
        <v>21547.833333333332</v>
      </c>
      <c r="C33" s="18">
        <v>30933.333333333332</v>
      </c>
    </row>
    <row r="34" spans="1:3" x14ac:dyDescent="0.25">
      <c r="A34" s="16" t="s">
        <v>32</v>
      </c>
      <c r="B34" s="18">
        <v>19138.277419354839</v>
      </c>
      <c r="C34" s="18">
        <v>27455.270967741937</v>
      </c>
    </row>
    <row r="35" spans="1:3" x14ac:dyDescent="0.25">
      <c r="B35"/>
    </row>
    <row r="36" spans="1:3" x14ac:dyDescent="0.25">
      <c r="B36"/>
    </row>
    <row r="37" spans="1:3" x14ac:dyDescent="0.25">
      <c r="B3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A153-F992-47E3-9ECB-15501F67CBBB}">
  <dimension ref="A1"/>
  <sheetViews>
    <sheetView showGridLines="0" showRowColHeaders="0" tabSelected="1" topLeftCell="H12" zoomScaleNormal="100" workbookViewId="0">
      <selection activeCell="AB21" sqref="AB21"/>
    </sheetView>
  </sheetViews>
  <sheetFormatPr defaultRowHeight="15" x14ac:dyDescent="0.25"/>
  <sheetData/>
  <pageMargins left="0.70866141732283472" right="0.70866141732283472" top="0.74803149606299213" bottom="0.74803149606299213" header="0.31496062992125984" footer="0.31496062992125984"/>
  <pageSetup paperSize="12" scale="39" orientation="landscape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Line Chart</vt:lpstr>
      <vt:lpstr>Pie Chart</vt:lpstr>
      <vt:lpstr>Bar Chart</vt:lpstr>
      <vt:lpstr>Treemaps</vt:lpstr>
      <vt:lpstr>Area Chart</vt:lpstr>
      <vt:lpstr>Column Chart</vt:lpstr>
      <vt:lpstr>Car_sales</vt:lpstr>
      <vt:lpstr>Pivotchart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Toibul Sk</cp:lastModifiedBy>
  <cp:revision/>
  <dcterms:created xsi:type="dcterms:W3CDTF">2020-05-21T14:49:04Z</dcterms:created>
  <dcterms:modified xsi:type="dcterms:W3CDTF">2026-04-17T14:51:53Z</dcterms:modified>
  <cp:category/>
  <cp:contentStatus/>
</cp:coreProperties>
</file>